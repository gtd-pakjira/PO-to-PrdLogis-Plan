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7\Downloads\PRD-Plan\"/>
    </mc:Choice>
  </mc:AlternateContent>
  <xr:revisionPtr revIDLastSave="0" documentId="13_ncr:1_{C7C4963B-4273-4B4D-9D61-5232329EC01C}" xr6:coauthVersionLast="45" xr6:coauthVersionMax="47" xr10:uidLastSave="{00000000-0000-0000-0000-000000000000}"/>
  <bookViews>
    <workbookView showHorizontalScroll="0" showVerticalScroll="0" xWindow="-120" yWindow="-120" windowWidth="20730" windowHeight="11160" tabRatio="352" xr2:uid="{00000000-000D-0000-FFFF-FFFF00000000}"/>
  </bookViews>
  <sheets>
    <sheet name="สุวรรณภูมิ-ผลิต" sheetId="5" r:id="rId1"/>
    <sheet name="สุวรรณภูมิ-รถ" sheetId="3" r:id="rId2"/>
    <sheet name="คันที่1" sheetId="6" r:id="rId3"/>
    <sheet name="คันที่2" sheetId="8" r:id="rId4"/>
  </sheets>
  <definedNames>
    <definedName name="_xlnm.Print_Area" localSheetId="2">คันที่1!$A$3:$K$46</definedName>
    <definedName name="_xlnm.Print_Area" localSheetId="3">คันที่2!$A$3:$K$46</definedName>
    <definedName name="_xlnm.Print_Area" localSheetId="0">'สุวรรณภูมิ-ผลิต'!#REF!</definedName>
    <definedName name="_xlnm.Print_Area" localSheetId="1">'สุวรรณภูมิ-รถ'!$A$6:$Q$29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0" i="3" l="1"/>
  <c r="N21" i="3"/>
  <c r="N22" i="3"/>
  <c r="N23" i="3"/>
  <c r="D35" i="3"/>
  <c r="T10" i="3"/>
  <c r="S10" i="3"/>
  <c r="R10" i="3"/>
  <c r="D32" i="3"/>
  <c r="G44" i="5" l="1"/>
  <c r="H44" i="5"/>
  <c r="I44" i="5"/>
  <c r="J44" i="5"/>
  <c r="K44" i="5"/>
  <c r="L44" i="5"/>
  <c r="M44" i="5"/>
  <c r="N44" i="5"/>
  <c r="O44" i="5"/>
  <c r="F44" i="5"/>
  <c r="E28" i="3"/>
  <c r="F28" i="3"/>
  <c r="G28" i="3"/>
  <c r="H28" i="3"/>
  <c r="I28" i="3"/>
  <c r="J28" i="3"/>
  <c r="K28" i="3"/>
  <c r="L28" i="3"/>
  <c r="M28" i="3"/>
  <c r="D28" i="3"/>
  <c r="E27" i="3"/>
  <c r="F27" i="3"/>
  <c r="G27" i="3"/>
  <c r="H27" i="3"/>
  <c r="I27" i="3"/>
  <c r="J27" i="3"/>
  <c r="K27" i="3"/>
  <c r="L27" i="3"/>
  <c r="M27" i="3"/>
  <c r="D27" i="3"/>
  <c r="P43" i="5"/>
  <c r="E14" i="3"/>
  <c r="F14" i="3"/>
  <c r="G14" i="3"/>
  <c r="H14" i="3"/>
  <c r="I14" i="3"/>
  <c r="J14" i="3"/>
  <c r="K14" i="3"/>
  <c r="L14" i="3"/>
  <c r="M14" i="3"/>
  <c r="D14" i="3"/>
  <c r="E13" i="3"/>
  <c r="F13" i="3"/>
  <c r="G13" i="3"/>
  <c r="H13" i="3"/>
  <c r="I13" i="3"/>
  <c r="J13" i="3"/>
  <c r="K13" i="3"/>
  <c r="L13" i="3"/>
  <c r="M13" i="3"/>
  <c r="D13" i="3"/>
  <c r="G16" i="5"/>
  <c r="H16" i="5"/>
  <c r="I16" i="5"/>
  <c r="J16" i="5"/>
  <c r="K16" i="5"/>
  <c r="L16" i="5"/>
  <c r="M16" i="5"/>
  <c r="N16" i="5"/>
  <c r="O16" i="5"/>
  <c r="F16" i="5"/>
  <c r="G14" i="5"/>
  <c r="H14" i="5"/>
  <c r="I14" i="5"/>
  <c r="J14" i="5"/>
  <c r="K14" i="5"/>
  <c r="L14" i="5"/>
  <c r="M14" i="5"/>
  <c r="F14" i="5"/>
  <c r="P15" i="5"/>
  <c r="P13" i="5"/>
  <c r="F10" i="5"/>
  <c r="G10" i="5"/>
  <c r="H10" i="5"/>
  <c r="I10" i="5"/>
  <c r="J10" i="5"/>
  <c r="K10" i="5"/>
  <c r="L10" i="5"/>
  <c r="M10" i="5"/>
  <c r="N10" i="5"/>
  <c r="O10" i="5"/>
  <c r="E16" i="3"/>
  <c r="F16" i="3"/>
  <c r="G16" i="3"/>
  <c r="H16" i="3"/>
  <c r="I16" i="3"/>
  <c r="J16" i="3"/>
  <c r="K16" i="3"/>
  <c r="L16" i="3"/>
  <c r="M16" i="3"/>
  <c r="D16" i="3"/>
  <c r="G20" i="5"/>
  <c r="H20" i="5"/>
  <c r="I20" i="5"/>
  <c r="J20" i="5"/>
  <c r="K20" i="5"/>
  <c r="L20" i="5"/>
  <c r="M20" i="5"/>
  <c r="N20" i="5"/>
  <c r="O20" i="5"/>
  <c r="F20" i="5"/>
  <c r="P19" i="5"/>
  <c r="G32" i="5"/>
  <c r="H32" i="5"/>
  <c r="I32" i="5"/>
  <c r="J32" i="5"/>
  <c r="K32" i="5"/>
  <c r="L32" i="5"/>
  <c r="M32" i="5"/>
  <c r="N32" i="5"/>
  <c r="O32" i="5"/>
  <c r="F32" i="5"/>
  <c r="E22" i="3"/>
  <c r="W22" i="3" s="1"/>
  <c r="F22" i="3"/>
  <c r="Z22" i="3" s="1"/>
  <c r="G22" i="3"/>
  <c r="AC22" i="3" s="1"/>
  <c r="H22" i="3"/>
  <c r="AF22" i="3" s="1"/>
  <c r="I22" i="3"/>
  <c r="AI22" i="3" s="1"/>
  <c r="J22" i="3"/>
  <c r="AL22" i="3" s="1"/>
  <c r="K22" i="3"/>
  <c r="AO22" i="3" s="1"/>
  <c r="L22" i="3"/>
  <c r="AR22" i="3" s="1"/>
  <c r="M22" i="3"/>
  <c r="AU22" i="3" s="1"/>
  <c r="D22" i="3"/>
  <c r="T22" i="3" s="1"/>
  <c r="P31" i="5"/>
  <c r="G42" i="5"/>
  <c r="H42" i="5"/>
  <c r="I42" i="5"/>
  <c r="J42" i="5"/>
  <c r="K42" i="5"/>
  <c r="L42" i="5"/>
  <c r="M42" i="5"/>
  <c r="N42" i="5"/>
  <c r="O42" i="5"/>
  <c r="F42" i="5"/>
  <c r="P41" i="5"/>
  <c r="N27" i="3" s="1"/>
  <c r="E25" i="3"/>
  <c r="F25" i="3"/>
  <c r="G25" i="3"/>
  <c r="H25" i="3"/>
  <c r="I25" i="3"/>
  <c r="J25" i="3"/>
  <c r="K25" i="3"/>
  <c r="L25" i="3"/>
  <c r="M25" i="3"/>
  <c r="D25" i="3"/>
  <c r="N8" i="5"/>
  <c r="E26" i="3"/>
  <c r="F26" i="3"/>
  <c r="G26" i="3"/>
  <c r="H26" i="3"/>
  <c r="I26" i="3"/>
  <c r="J26" i="3"/>
  <c r="K26" i="3"/>
  <c r="L26" i="3"/>
  <c r="M26" i="3"/>
  <c r="D26" i="3"/>
  <c r="G38" i="5"/>
  <c r="H38" i="5"/>
  <c r="I38" i="5"/>
  <c r="J38" i="5"/>
  <c r="K38" i="5"/>
  <c r="L38" i="5"/>
  <c r="M38" i="5"/>
  <c r="N38" i="5"/>
  <c r="O38" i="5"/>
  <c r="F38" i="5"/>
  <c r="P37" i="5"/>
  <c r="F18" i="5"/>
  <c r="G18" i="5"/>
  <c r="H18" i="5"/>
  <c r="I18" i="5"/>
  <c r="J18" i="5"/>
  <c r="K18" i="5"/>
  <c r="L18" i="5"/>
  <c r="M18" i="5"/>
  <c r="N18" i="5"/>
  <c r="O18" i="5"/>
  <c r="G28" i="5"/>
  <c r="H28" i="5"/>
  <c r="I28" i="5"/>
  <c r="J28" i="5"/>
  <c r="K28" i="5"/>
  <c r="L28" i="5"/>
  <c r="M28" i="5"/>
  <c r="N28" i="5"/>
  <c r="O28" i="5"/>
  <c r="F28" i="5"/>
  <c r="G40" i="5"/>
  <c r="H40" i="5"/>
  <c r="I40" i="5"/>
  <c r="J40" i="5"/>
  <c r="K40" i="5"/>
  <c r="L40" i="5"/>
  <c r="M40" i="5"/>
  <c r="N40" i="5"/>
  <c r="O40" i="5"/>
  <c r="F40" i="5"/>
  <c r="P39" i="5"/>
  <c r="G8" i="5"/>
  <c r="G12" i="5"/>
  <c r="H36" i="5"/>
  <c r="I36" i="5"/>
  <c r="J36" i="5"/>
  <c r="K36" i="5"/>
  <c r="L36" i="5"/>
  <c r="M36" i="5"/>
  <c r="N36" i="5"/>
  <c r="O36" i="5"/>
  <c r="H34" i="5"/>
  <c r="I34" i="5"/>
  <c r="J34" i="5"/>
  <c r="K34" i="5"/>
  <c r="L34" i="5"/>
  <c r="M34" i="5"/>
  <c r="N34" i="5"/>
  <c r="O34" i="5"/>
  <c r="H30" i="5"/>
  <c r="I30" i="5"/>
  <c r="J30" i="5"/>
  <c r="K30" i="5"/>
  <c r="L30" i="5"/>
  <c r="M30" i="5"/>
  <c r="N30" i="5"/>
  <c r="O30" i="5"/>
  <c r="O26" i="5"/>
  <c r="H26" i="5"/>
  <c r="I26" i="5"/>
  <c r="J26" i="5"/>
  <c r="K26" i="5"/>
  <c r="L26" i="5"/>
  <c r="M26" i="5"/>
  <c r="N26" i="5"/>
  <c r="H24" i="5"/>
  <c r="I24" i="5"/>
  <c r="J24" i="5"/>
  <c r="K24" i="5"/>
  <c r="L24" i="5"/>
  <c r="M24" i="5"/>
  <c r="N24" i="5"/>
  <c r="O24" i="5"/>
  <c r="H22" i="5"/>
  <c r="I22" i="5"/>
  <c r="J22" i="5"/>
  <c r="K22" i="5"/>
  <c r="L22" i="5"/>
  <c r="M22" i="5"/>
  <c r="N22" i="5"/>
  <c r="O22" i="5"/>
  <c r="H12" i="5"/>
  <c r="I12" i="5"/>
  <c r="J12" i="5"/>
  <c r="K12" i="5"/>
  <c r="L12" i="5"/>
  <c r="M12" i="5"/>
  <c r="N12" i="5"/>
  <c r="O12" i="5"/>
  <c r="H8" i="5"/>
  <c r="I8" i="5"/>
  <c r="J8" i="5"/>
  <c r="K8" i="5"/>
  <c r="L8" i="5"/>
  <c r="M8" i="5"/>
  <c r="O8" i="5"/>
  <c r="E20" i="3"/>
  <c r="F20" i="3"/>
  <c r="G20" i="3"/>
  <c r="H20" i="3"/>
  <c r="I20" i="3"/>
  <c r="J20" i="3"/>
  <c r="K20" i="3"/>
  <c r="L20" i="3"/>
  <c r="M20" i="3"/>
  <c r="D20" i="3"/>
  <c r="C28" i="3" l="1" a="1"/>
  <c r="C28" i="3" s="1"/>
  <c r="Q43" i="5" s="1"/>
  <c r="C13" i="3" a="1"/>
  <c r="C13" i="3" s="1"/>
  <c r="Q13" i="5" s="1"/>
  <c r="C14" i="3" a="1"/>
  <c r="C14" i="3" s="1"/>
  <c r="Q15" i="5" s="1"/>
  <c r="C16" i="3" a="1"/>
  <c r="C16" i="3" s="1"/>
  <c r="AJ22" i="3"/>
  <c r="X22" i="3"/>
  <c r="C22" i="3" a="1"/>
  <c r="C22" i="3" s="1"/>
  <c r="Q31" i="5" s="1"/>
  <c r="Y22" i="3"/>
  <c r="AK22" i="3"/>
  <c r="AA22" i="3"/>
  <c r="AM22" i="3"/>
  <c r="AB22" i="3"/>
  <c r="AN22" i="3"/>
  <c r="R22" i="3"/>
  <c r="AD22" i="3"/>
  <c r="AP22" i="3"/>
  <c r="S22" i="3"/>
  <c r="AE22" i="3"/>
  <c r="AQ22" i="3"/>
  <c r="U22" i="3"/>
  <c r="AG22" i="3"/>
  <c r="AS22" i="3"/>
  <c r="V22" i="3"/>
  <c r="AH22" i="3"/>
  <c r="AT22" i="3"/>
  <c r="C27" i="3" a="1"/>
  <c r="C27" i="3" s="1"/>
  <c r="C26" i="3" a="1"/>
  <c r="C26" i="3" s="1"/>
  <c r="Q39" i="5" s="1"/>
  <c r="C25" i="3" a="1"/>
  <c r="C25" i="3" s="1"/>
  <c r="Q37" i="5" s="1"/>
  <c r="C20" i="3" a="1"/>
  <c r="C20" i="3" s="1"/>
  <c r="Q27" i="5" s="1"/>
  <c r="P27" i="5"/>
  <c r="G22" i="5"/>
  <c r="F22" i="5"/>
  <c r="G36" i="5"/>
  <c r="F36" i="5"/>
  <c r="E17" i="3"/>
  <c r="F17" i="3"/>
  <c r="G17" i="3"/>
  <c r="H17" i="3"/>
  <c r="I17" i="3"/>
  <c r="J17" i="3"/>
  <c r="K17" i="3"/>
  <c r="L17" i="3"/>
  <c r="M17" i="3"/>
  <c r="D17" i="3"/>
  <c r="Q19" i="5" l="1"/>
  <c r="Q41" i="5"/>
  <c r="C17" i="3" a="1"/>
  <c r="C17" i="3" s="1"/>
  <c r="Q21" i="5" s="1"/>
  <c r="F24" i="5" l="1"/>
  <c r="G24" i="5"/>
  <c r="G34" i="5"/>
  <c r="F34" i="5"/>
  <c r="G26" i="5" l="1"/>
  <c r="F26" i="5"/>
  <c r="E19" i="3"/>
  <c r="F19" i="3"/>
  <c r="G19" i="3"/>
  <c r="H19" i="3"/>
  <c r="I19" i="3"/>
  <c r="J19" i="3"/>
  <c r="K19" i="3"/>
  <c r="L19" i="3"/>
  <c r="M19" i="3"/>
  <c r="D19" i="3"/>
  <c r="E24" i="3"/>
  <c r="F24" i="3"/>
  <c r="G24" i="3"/>
  <c r="H24" i="3"/>
  <c r="I24" i="3"/>
  <c r="J24" i="3"/>
  <c r="K24" i="3"/>
  <c r="L24" i="3"/>
  <c r="M24" i="3"/>
  <c r="D24" i="3"/>
  <c r="E21" i="3"/>
  <c r="F21" i="3"/>
  <c r="G21" i="3"/>
  <c r="H21" i="3"/>
  <c r="I21" i="3"/>
  <c r="J21" i="3"/>
  <c r="K21" i="3"/>
  <c r="L21" i="3"/>
  <c r="M21" i="3"/>
  <c r="D21" i="3"/>
  <c r="E23" i="3"/>
  <c r="F23" i="3"/>
  <c r="G23" i="3"/>
  <c r="H23" i="3"/>
  <c r="I23" i="3"/>
  <c r="J23" i="3"/>
  <c r="K23" i="3"/>
  <c r="L23" i="3"/>
  <c r="M23" i="3"/>
  <c r="D23" i="3"/>
  <c r="F8" i="5"/>
  <c r="C23" i="3" l="1" a="1"/>
  <c r="C23" i="3" s="1"/>
  <c r="C21" i="3" a="1"/>
  <c r="C21" i="3" s="1"/>
  <c r="Q29" i="5" s="1"/>
  <c r="C19" i="3" a="1"/>
  <c r="C19" i="3" s="1"/>
  <c r="C24" i="3" a="1"/>
  <c r="C24" i="3" s="1"/>
  <c r="W23" i="3"/>
  <c r="Y23" i="3"/>
  <c r="AA23" i="3"/>
  <c r="AF23" i="3"/>
  <c r="AI23" i="3"/>
  <c r="AK23" i="3"/>
  <c r="AM23" i="3"/>
  <c r="AR23" i="3"/>
  <c r="AU23" i="3"/>
  <c r="S23" i="3"/>
  <c r="W21" i="3"/>
  <c r="Z21" i="3"/>
  <c r="AC21" i="3"/>
  <c r="AF21" i="3"/>
  <c r="AI21" i="3"/>
  <c r="AL21" i="3"/>
  <c r="AM21" i="3"/>
  <c r="AQ21" i="3"/>
  <c r="AU21" i="3"/>
  <c r="T21" i="3"/>
  <c r="P35" i="5"/>
  <c r="Q35" i="5" l="1"/>
  <c r="Q33" i="5"/>
  <c r="T23" i="3"/>
  <c r="AA21" i="3"/>
  <c r="S21" i="3"/>
  <c r="AQ23" i="3"/>
  <c r="AO21" i="3"/>
  <c r="AC23" i="3"/>
  <c r="AE23" i="3"/>
  <c r="AO23" i="3"/>
  <c r="AR21" i="3"/>
  <c r="AE21" i="3"/>
  <c r="X21" i="3"/>
  <c r="AJ21" i="3"/>
  <c r="X23" i="3"/>
  <c r="AJ23" i="3"/>
  <c r="AB21" i="3"/>
  <c r="AN21" i="3"/>
  <c r="AB23" i="3"/>
  <c r="AN23" i="3"/>
  <c r="AS23" i="3"/>
  <c r="R23" i="3"/>
  <c r="V23" i="3"/>
  <c r="Z23" i="3"/>
  <c r="AD23" i="3"/>
  <c r="AH23" i="3"/>
  <c r="AL23" i="3"/>
  <c r="AP23" i="3"/>
  <c r="AT23" i="3"/>
  <c r="U23" i="3"/>
  <c r="AG23" i="3"/>
  <c r="U21" i="3"/>
  <c r="Y21" i="3"/>
  <c r="AK21" i="3"/>
  <c r="AG21" i="3"/>
  <c r="AS21" i="3"/>
  <c r="R21" i="3"/>
  <c r="V21" i="3"/>
  <c r="AD21" i="3"/>
  <c r="AH21" i="3"/>
  <c r="AP21" i="3"/>
  <c r="AT21" i="3"/>
  <c r="P33" i="5"/>
  <c r="F30" i="5" l="1"/>
  <c r="G30" i="5"/>
  <c r="P29" i="5"/>
  <c r="P25" i="5" l="1"/>
  <c r="Q25" i="5" l="1"/>
  <c r="E16" i="8" l="1"/>
  <c r="F16" i="8"/>
  <c r="G16" i="8"/>
  <c r="H16" i="8"/>
  <c r="D16" i="8"/>
  <c r="I16" i="8" l="1"/>
  <c r="E34" i="8"/>
  <c r="E35" i="8" s="1"/>
  <c r="F34" i="8"/>
  <c r="F35" i="8" s="1"/>
  <c r="G34" i="8"/>
  <c r="G35" i="8" s="1"/>
  <c r="H34" i="8"/>
  <c r="E32" i="8"/>
  <c r="E33" i="8" s="1"/>
  <c r="F32" i="8"/>
  <c r="F33" i="8" s="1"/>
  <c r="G32" i="8"/>
  <c r="H32" i="8"/>
  <c r="H33" i="8" s="1"/>
  <c r="D32" i="8"/>
  <c r="D33" i="8" s="1"/>
  <c r="D30" i="8"/>
  <c r="E34" i="6"/>
  <c r="E35" i="6" s="1"/>
  <c r="F34" i="6"/>
  <c r="F35" i="6" s="1"/>
  <c r="G34" i="6"/>
  <c r="G35" i="6" s="1"/>
  <c r="H34" i="6"/>
  <c r="H35" i="6" s="1"/>
  <c r="E32" i="6"/>
  <c r="E33" i="6" s="1"/>
  <c r="F32" i="6"/>
  <c r="F33" i="6" s="1"/>
  <c r="G32" i="6"/>
  <c r="G33" i="6" s="1"/>
  <c r="H32" i="6"/>
  <c r="H33" i="6" s="1"/>
  <c r="D32" i="6"/>
  <c r="D33" i="6" s="1"/>
  <c r="E26" i="8"/>
  <c r="E27" i="8" s="1"/>
  <c r="F26" i="8"/>
  <c r="F27" i="8" s="1"/>
  <c r="G26" i="8"/>
  <c r="G27" i="8" s="1"/>
  <c r="H26" i="8"/>
  <c r="H27" i="8" s="1"/>
  <c r="D26" i="8"/>
  <c r="D27" i="8" s="1"/>
  <c r="D34" i="8"/>
  <c r="D35" i="8" s="1"/>
  <c r="E30" i="8"/>
  <c r="E31" i="8" s="1"/>
  <c r="F30" i="8"/>
  <c r="F31" i="8" s="1"/>
  <c r="G30" i="8"/>
  <c r="G31" i="8" s="1"/>
  <c r="H30" i="8"/>
  <c r="H31" i="8" s="1"/>
  <c r="E28" i="8"/>
  <c r="E29" i="8" s="1"/>
  <c r="F28" i="8"/>
  <c r="F29" i="8" s="1"/>
  <c r="G28" i="8"/>
  <c r="G29" i="8" s="1"/>
  <c r="H28" i="8"/>
  <c r="H29" i="8" s="1"/>
  <c r="D28" i="8"/>
  <c r="D29" i="8" s="1"/>
  <c r="E24" i="8"/>
  <c r="F24" i="8"/>
  <c r="F25" i="8" s="1"/>
  <c r="G24" i="8"/>
  <c r="H24" i="8"/>
  <c r="H25" i="8" s="1"/>
  <c r="D24" i="8"/>
  <c r="D25" i="8" s="1"/>
  <c r="E22" i="8"/>
  <c r="E23" i="8" s="1"/>
  <c r="F22" i="8"/>
  <c r="F23" i="8" s="1"/>
  <c r="G22" i="8"/>
  <c r="G23" i="8" s="1"/>
  <c r="H22" i="8"/>
  <c r="H23" i="8" s="1"/>
  <c r="D22" i="8"/>
  <c r="E20" i="8"/>
  <c r="E21" i="8" s="1"/>
  <c r="F20" i="8"/>
  <c r="F21" i="8" s="1"/>
  <c r="G20" i="8"/>
  <c r="G21" i="8" s="1"/>
  <c r="H20" i="8"/>
  <c r="H21" i="8" s="1"/>
  <c r="D20" i="8"/>
  <c r="D21" i="8" s="1"/>
  <c r="E18" i="8"/>
  <c r="F18" i="8"/>
  <c r="F19" i="8" s="1"/>
  <c r="G18" i="8"/>
  <c r="G19" i="8" s="1"/>
  <c r="H18" i="8"/>
  <c r="H19" i="8" s="1"/>
  <c r="D18" i="8"/>
  <c r="G17" i="8"/>
  <c r="E14" i="8"/>
  <c r="E15" i="8" s="1"/>
  <c r="F14" i="8"/>
  <c r="F15" i="8" s="1"/>
  <c r="G14" i="8"/>
  <c r="G15" i="8" s="1"/>
  <c r="H14" i="8"/>
  <c r="H15" i="8" s="1"/>
  <c r="D14" i="8"/>
  <c r="E12" i="8"/>
  <c r="F12" i="8"/>
  <c r="F13" i="8" s="1"/>
  <c r="G12" i="8"/>
  <c r="G13" i="8" s="1"/>
  <c r="H12" i="8"/>
  <c r="H13" i="8" s="1"/>
  <c r="D12" i="8"/>
  <c r="E10" i="8"/>
  <c r="E11" i="8" s="1"/>
  <c r="F10" i="8"/>
  <c r="F11" i="8" s="1"/>
  <c r="G10" i="8"/>
  <c r="G11" i="8" s="1"/>
  <c r="H10" i="8"/>
  <c r="H11" i="8" s="1"/>
  <c r="D10" i="8"/>
  <c r="J36" i="6"/>
  <c r="D34" i="6"/>
  <c r="D35" i="6" s="1"/>
  <c r="H30" i="6"/>
  <c r="E30" i="6"/>
  <c r="F30" i="6"/>
  <c r="G30" i="6"/>
  <c r="D30" i="6"/>
  <c r="J36" i="8"/>
  <c r="F17" i="8"/>
  <c r="H17" i="8"/>
  <c r="E17" i="8"/>
  <c r="D17" i="8"/>
  <c r="D7" i="8"/>
  <c r="I24" i="8" l="1"/>
  <c r="I14" i="8"/>
  <c r="I22" i="8"/>
  <c r="I18" i="8"/>
  <c r="I12" i="8"/>
  <c r="I10" i="8"/>
  <c r="I30" i="8"/>
  <c r="I20" i="8"/>
  <c r="I30" i="6"/>
  <c r="G25" i="8"/>
  <c r="D23" i="8"/>
  <c r="I28" i="8"/>
  <c r="D19" i="8"/>
  <c r="D15" i="8"/>
  <c r="D13" i="8"/>
  <c r="D11" i="8"/>
  <c r="I32" i="8"/>
  <c r="G33" i="8"/>
  <c r="I26" i="8"/>
  <c r="I34" i="8"/>
  <c r="D31" i="8"/>
  <c r="I32" i="6"/>
  <c r="H35" i="8"/>
  <c r="I34" i="6"/>
  <c r="E13" i="8"/>
  <c r="E19" i="8"/>
  <c r="E25" i="8"/>
  <c r="P17" i="5"/>
  <c r="E11" i="3" l="1"/>
  <c r="F11" i="3"/>
  <c r="G11" i="3"/>
  <c r="H11" i="3"/>
  <c r="I11" i="3"/>
  <c r="J11" i="3"/>
  <c r="K11" i="3"/>
  <c r="L11" i="3"/>
  <c r="M11" i="3"/>
  <c r="P7" i="5" l="1"/>
  <c r="D22" i="6" l="1"/>
  <c r="D23" i="6" s="1"/>
  <c r="E22" i="6"/>
  <c r="E23" i="6" s="1"/>
  <c r="F22" i="6"/>
  <c r="F23" i="6" s="1"/>
  <c r="G22" i="6"/>
  <c r="G23" i="6" s="1"/>
  <c r="H22" i="6"/>
  <c r="H23" i="6" s="1"/>
  <c r="P21" i="5"/>
  <c r="I22" i="6" l="1"/>
  <c r="H24" i="6" l="1"/>
  <c r="H25" i="6" s="1"/>
  <c r="G24" i="6"/>
  <c r="G25" i="6" s="1"/>
  <c r="F24" i="6"/>
  <c r="F25" i="6" s="1"/>
  <c r="E24" i="6"/>
  <c r="E25" i="6" s="1"/>
  <c r="D24" i="6"/>
  <c r="P9" i="5"/>
  <c r="P11" i="5"/>
  <c r="P23" i="5"/>
  <c r="I24" i="6" l="1"/>
  <c r="D25" i="6"/>
  <c r="D10" i="6"/>
  <c r="E10" i="6"/>
  <c r="D7" i="6" l="1"/>
  <c r="D14" i="6" l="1"/>
  <c r="D15" i="6" s="1"/>
  <c r="D16" i="6"/>
  <c r="D17" i="6" s="1"/>
  <c r="D18" i="6"/>
  <c r="D19" i="6" s="1"/>
  <c r="D20" i="6"/>
  <c r="D21" i="6" s="1"/>
  <c r="D26" i="6"/>
  <c r="D27" i="6" s="1"/>
  <c r="D28" i="6"/>
  <c r="D29" i="6" s="1"/>
  <c r="D31" i="6"/>
  <c r="E10" i="3" l="1"/>
  <c r="F10" i="3"/>
  <c r="G10" i="3"/>
  <c r="H10" i="3"/>
  <c r="I10" i="3"/>
  <c r="J10" i="3"/>
  <c r="K10" i="3"/>
  <c r="L10" i="3"/>
  <c r="M10" i="3"/>
  <c r="D10" i="3"/>
  <c r="C10" i="3" l="1" a="1"/>
  <c r="C10" i="3" s="1"/>
  <c r="Q7" i="5" l="1"/>
  <c r="H18" i="6"/>
  <c r="E31" i="6"/>
  <c r="F31" i="6"/>
  <c r="G31" i="6"/>
  <c r="E28" i="6"/>
  <c r="E29" i="6" s="1"/>
  <c r="F28" i="6"/>
  <c r="F29" i="6" s="1"/>
  <c r="G28" i="6"/>
  <c r="G29" i="6" s="1"/>
  <c r="H28" i="6"/>
  <c r="E26" i="6"/>
  <c r="E27" i="6" s="1"/>
  <c r="F26" i="6"/>
  <c r="F27" i="6" s="1"/>
  <c r="G26" i="6"/>
  <c r="H26" i="6"/>
  <c r="H27" i="6" s="1"/>
  <c r="E20" i="6"/>
  <c r="E21" i="6" s="1"/>
  <c r="F20" i="6"/>
  <c r="F21" i="6" s="1"/>
  <c r="G20" i="6"/>
  <c r="G21" i="6" s="1"/>
  <c r="H20" i="6"/>
  <c r="E18" i="6"/>
  <c r="E19" i="6" s="1"/>
  <c r="F18" i="6"/>
  <c r="F19" i="6" s="1"/>
  <c r="G18" i="6"/>
  <c r="G19" i="6" s="1"/>
  <c r="E16" i="6"/>
  <c r="E17" i="6" s="1"/>
  <c r="F16" i="6"/>
  <c r="F17" i="6" s="1"/>
  <c r="G16" i="6"/>
  <c r="G17" i="6" s="1"/>
  <c r="H16" i="6"/>
  <c r="H17" i="6" s="1"/>
  <c r="E14" i="6"/>
  <c r="E15" i="6" s="1"/>
  <c r="F14" i="6"/>
  <c r="F15" i="6" s="1"/>
  <c r="G14" i="6"/>
  <c r="G15" i="6" s="1"/>
  <c r="H14" i="6"/>
  <c r="H15" i="6" s="1"/>
  <c r="E12" i="6"/>
  <c r="E13" i="6" s="1"/>
  <c r="F12" i="6"/>
  <c r="F13" i="6" s="1"/>
  <c r="G12" i="6"/>
  <c r="G13" i="6" s="1"/>
  <c r="H12" i="6"/>
  <c r="D12" i="6"/>
  <c r="E11" i="6"/>
  <c r="F10" i="6"/>
  <c r="G10" i="6"/>
  <c r="G11" i="6" s="1"/>
  <c r="H10" i="6"/>
  <c r="H11" i="6" s="1"/>
  <c r="D11" i="6"/>
  <c r="F11" i="6" l="1"/>
  <c r="I10" i="6"/>
  <c r="D13" i="6"/>
  <c r="I12" i="6"/>
  <c r="I20" i="6"/>
  <c r="I26" i="6"/>
  <c r="I28" i="6"/>
  <c r="H29" i="6"/>
  <c r="I18" i="6"/>
  <c r="H19" i="6"/>
  <c r="H31" i="6"/>
  <c r="G27" i="6"/>
  <c r="H21" i="6"/>
  <c r="I16" i="6"/>
  <c r="I14" i="6"/>
  <c r="H13" i="6"/>
  <c r="F12" i="5" l="1"/>
  <c r="E18" i="3"/>
  <c r="W18" i="3" s="1"/>
  <c r="F18" i="3"/>
  <c r="Z18" i="3" s="1"/>
  <c r="G18" i="3"/>
  <c r="AC18" i="3" s="1"/>
  <c r="H18" i="3"/>
  <c r="AE18" i="3" s="1"/>
  <c r="I18" i="3"/>
  <c r="AI18" i="3" s="1"/>
  <c r="J18" i="3"/>
  <c r="AL18" i="3" s="1"/>
  <c r="K18" i="3"/>
  <c r="AN18" i="3" s="1"/>
  <c r="L18" i="3"/>
  <c r="AQ18" i="3" s="1"/>
  <c r="M18" i="3"/>
  <c r="AS18" i="3" s="1"/>
  <c r="E15" i="3"/>
  <c r="V15" i="3" s="1"/>
  <c r="F15" i="3"/>
  <c r="X15" i="3" s="1"/>
  <c r="G15" i="3"/>
  <c r="AA15" i="3" s="1"/>
  <c r="H15" i="3"/>
  <c r="AF15" i="3" s="1"/>
  <c r="I15" i="3"/>
  <c r="AI15" i="3" s="1"/>
  <c r="J15" i="3"/>
  <c r="AK15" i="3" s="1"/>
  <c r="K15" i="3"/>
  <c r="L15" i="3"/>
  <c r="AR15" i="3" s="1"/>
  <c r="M15" i="3"/>
  <c r="AU15" i="3" s="1"/>
  <c r="E12" i="3"/>
  <c r="W12" i="3" s="1"/>
  <c r="F12" i="3"/>
  <c r="X12" i="3" s="1"/>
  <c r="G12" i="3"/>
  <c r="AC12" i="3" s="1"/>
  <c r="H12" i="3"/>
  <c r="AF12" i="3" s="1"/>
  <c r="I12" i="3"/>
  <c r="AH12" i="3" s="1"/>
  <c r="J12" i="3"/>
  <c r="AL12" i="3" s="1"/>
  <c r="K12" i="3"/>
  <c r="AM12" i="3" s="1"/>
  <c r="L12" i="3"/>
  <c r="AR12" i="3" s="1"/>
  <c r="M12" i="3"/>
  <c r="AU12" i="3" s="1"/>
  <c r="W11" i="3"/>
  <c r="Y11" i="3"/>
  <c r="AB11" i="3"/>
  <c r="AF11" i="3"/>
  <c r="AI11" i="3"/>
  <c r="AL11" i="3"/>
  <c r="AO11" i="3"/>
  <c r="AR11" i="3"/>
  <c r="AT11" i="3"/>
  <c r="D18" i="3"/>
  <c r="D15" i="3"/>
  <c r="D12" i="3"/>
  <c r="D11" i="3"/>
  <c r="C11" i="3" s="1" a="1"/>
  <c r="C11" i="3" s="1"/>
  <c r="V10" i="3"/>
  <c r="X10" i="3"/>
  <c r="AB10" i="3"/>
  <c r="AF10" i="3"/>
  <c r="AI10" i="3"/>
  <c r="AK10" i="3"/>
  <c r="AM10" i="3"/>
  <c r="AQ10" i="3"/>
  <c r="AS10" i="3"/>
  <c r="AN15" i="3" l="1"/>
  <c r="C15" i="3" a="1"/>
  <c r="C15" i="3" s="1"/>
  <c r="Q17" i="5" s="1"/>
  <c r="C12" i="3" a="1"/>
  <c r="C12" i="3" s="1"/>
  <c r="C18" i="3" a="1"/>
  <c r="C18" i="3" s="1"/>
  <c r="Q9" i="5"/>
  <c r="AD12" i="3"/>
  <c r="W15" i="3"/>
  <c r="S12" i="3"/>
  <c r="T15" i="3"/>
  <c r="T18" i="3"/>
  <c r="AE12" i="3"/>
  <c r="U15" i="3"/>
  <c r="V11" i="3"/>
  <c r="AM11" i="3"/>
  <c r="U11" i="3"/>
  <c r="Z15" i="3"/>
  <c r="AI12" i="3"/>
  <c r="Y12" i="3"/>
  <c r="AQ11" i="3"/>
  <c r="AR10" i="3"/>
  <c r="AO18" i="3"/>
  <c r="AO15" i="3"/>
  <c r="AN11" i="3"/>
  <c r="X18" i="3"/>
  <c r="Y10" i="3"/>
  <c r="Z10" i="3"/>
  <c r="U18" i="3"/>
  <c r="V18" i="3"/>
  <c r="AD15" i="3"/>
  <c r="AL15" i="3"/>
  <c r="AC11" i="3"/>
  <c r="AJ12" i="3"/>
  <c r="AK12" i="3"/>
  <c r="AN12" i="3"/>
  <c r="AF18" i="3"/>
  <c r="AJ18" i="3"/>
  <c r="U12" i="3"/>
  <c r="Y18" i="3"/>
  <c r="V12" i="3"/>
  <c r="AJ15" i="3"/>
  <c r="Y15" i="3"/>
  <c r="AE15" i="3"/>
  <c r="AR18" i="3"/>
  <c r="AL10" i="3"/>
  <c r="AA11" i="3"/>
  <c r="AE11" i="3"/>
  <c r="AB12" i="3"/>
  <c r="S15" i="3"/>
  <c r="AM15" i="3"/>
  <c r="S18" i="3"/>
  <c r="AD18" i="3"/>
  <c r="AM18" i="3"/>
  <c r="AD11" i="3"/>
  <c r="AA12" i="3"/>
  <c r="AO12" i="3"/>
  <c r="R18" i="3"/>
  <c r="AP11" i="3"/>
  <c r="AH18" i="3"/>
  <c r="T12" i="3"/>
  <c r="AS12" i="3"/>
  <c r="AT12" i="3"/>
  <c r="AT10" i="3"/>
  <c r="AU10" i="3"/>
  <c r="W10" i="3"/>
  <c r="U10" i="3"/>
  <c r="AT18" i="3"/>
  <c r="AS11" i="3"/>
  <c r="AG18" i="3"/>
  <c r="AU18" i="3"/>
  <c r="R11" i="3"/>
  <c r="AU11" i="3"/>
  <c r="S11" i="3"/>
  <c r="AG11" i="3"/>
  <c r="AP12" i="3"/>
  <c r="AP15" i="3"/>
  <c r="AG10" i="3"/>
  <c r="T11" i="3"/>
  <c r="AH11" i="3"/>
  <c r="AQ12" i="3"/>
  <c r="AQ15" i="3"/>
  <c r="N11" i="3"/>
  <c r="AH10" i="3"/>
  <c r="AG15" i="3"/>
  <c r="AS15" i="3"/>
  <c r="R12" i="3"/>
  <c r="AH15" i="3"/>
  <c r="AT15" i="3"/>
  <c r="AP18" i="3"/>
  <c r="AK18" i="3"/>
  <c r="AA18" i="3"/>
  <c r="AB18" i="3"/>
  <c r="N18" i="3"/>
  <c r="AC15" i="3"/>
  <c r="N15" i="3"/>
  <c r="AB15" i="3"/>
  <c r="Z12" i="3"/>
  <c r="N12" i="3"/>
  <c r="AG12" i="3"/>
  <c r="X11" i="3"/>
  <c r="AJ11" i="3"/>
  <c r="AK11" i="3"/>
  <c r="Z11" i="3"/>
  <c r="R15" i="3"/>
  <c r="AC10" i="3"/>
  <c r="AD10" i="3"/>
  <c r="AE10" i="3"/>
  <c r="AN10" i="3"/>
  <c r="AO10" i="3"/>
  <c r="AP10" i="3"/>
  <c r="AJ10" i="3"/>
  <c r="AA10" i="3"/>
  <c r="N10" i="3"/>
  <c r="C29" i="3" l="1"/>
  <c r="Q23" i="5"/>
  <c r="Q11" i="5"/>
  <c r="Q45" i="5" s="1"/>
  <c r="D31" i="3"/>
  <c r="D30" i="3"/>
  <c r="I32" i="3"/>
  <c r="H31" i="3"/>
  <c r="L32" i="3"/>
  <c r="K30" i="3"/>
  <c r="H32" i="3"/>
  <c r="K31" i="3"/>
  <c r="L31" i="3"/>
  <c r="E32" i="3"/>
  <c r="J32" i="3"/>
  <c r="H30" i="3"/>
  <c r="K32" i="3"/>
  <c r="E31" i="3"/>
  <c r="J31" i="3"/>
  <c r="G31" i="3"/>
  <c r="F31" i="3"/>
  <c r="I30" i="3"/>
  <c r="E30" i="3"/>
  <c r="I31" i="3"/>
  <c r="M32" i="3"/>
  <c r="G32" i="3"/>
  <c r="M31" i="3"/>
  <c r="M30" i="3"/>
  <c r="L30" i="3"/>
  <c r="F30" i="3"/>
  <c r="G30" i="3"/>
  <c r="F32" i="3"/>
  <c r="J30" i="3"/>
  <c r="N46" i="5" l="1"/>
  <c r="D29" i="3"/>
  <c r="L29" i="3"/>
  <c r="K29" i="3"/>
  <c r="H29" i="3"/>
  <c r="E29" i="3"/>
  <c r="I29" i="3"/>
  <c r="J29" i="3"/>
  <c r="G29" i="3"/>
  <c r="D41" i="3"/>
  <c r="M29" i="3"/>
  <c r="D40" i="3"/>
  <c r="F29" i="3"/>
  <c r="D36" i="3"/>
  <c r="D42" i="3" l="1"/>
  <c r="D44" i="3" s="1"/>
  <c r="D37" i="3"/>
  <c r="D39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<sst xmlns="http://schemas.openxmlformats.org/spreadsheetml/2006/main" count="298" uniqueCount="155">
  <si>
    <t>PO1</t>
  </si>
  <si>
    <t>PO2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</si>
  <si>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</si>
  <si>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</si>
  <si>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</si>
  <si>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</si>
  <si>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</si>
  <si>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</si>
  <si>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</si>
  <si>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</si>
  <si>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</si>
  <si>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</si>
  <si>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</si>
  <si>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</si>
  <si>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</si>
  <si>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</si>
  <si>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>%</t>
  </si>
  <si>
    <t xml:space="preserve">PO: </t>
  </si>
  <si>
    <t xml:space="preserve">Date: </t>
  </si>
  <si>
    <t>จำนวนรถที่ต้องใช้</t>
  </si>
  <si>
    <t>คัน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</si>
  <si>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</si>
  <si>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</si>
  <si>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</si>
  <si>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</si>
  <si>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</si>
  <si>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</si>
  <si>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</si>
  <si>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PO6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</si>
  <si>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</si>
  <si>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</si>
  <si>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</si>
  <si>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</si>
  <si>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</si>
  <si>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</si>
  <si>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</si>
  <si>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</si>
  <si>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</si>
  <si>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</si>
  <si>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</si>
  <si>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</si>
  <si>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</si>
  <si>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</si>
  <si>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</si>
  <si>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</si>
  <si>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</si>
  <si>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</si>
  <si>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</si>
  <si>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</si>
  <si>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</si>
  <si>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</si>
  <si>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</si>
  <si>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</si>
  <si>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</si>
  <si>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</si>
  <si>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</si>
  <si>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</si>
  <si>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</si>
  <si>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</si>
  <si>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</si>
  <si>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</si>
  <si>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</si>
  <si>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</si>
  <si>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</si>
  <si>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องุ่นไชน์มัสแคท 300 กรัม x 15 P</t>
  </si>
  <si>
    <t>แอปเปิ้ลแดงวอชิงตันลูกเดี่ยว x 45 P</t>
  </si>
  <si>
    <t>ลูกไหนจิ๋ว 200 กรัม x27 P</t>
  </si>
  <si>
    <t>องุ่นแดงไร้เมล็ด 300 g. x 20 p</t>
  </si>
  <si>
    <t>เบอร์รี่ดูโอ้ 160 กรัม x 32 P</t>
  </si>
  <si>
    <t>ยอดรวม</t>
  </si>
  <si>
    <t>PO 2</t>
  </si>
  <si>
    <t>PO 3</t>
  </si>
  <si>
    <t>PO 4</t>
  </si>
  <si>
    <t>PO 5</t>
  </si>
  <si>
    <t>PO 6</t>
  </si>
  <si>
    <t>PO 7</t>
  </si>
  <si>
    <t>PO 8</t>
  </si>
  <si>
    <t>PO 9</t>
  </si>
  <si>
    <t>PO 10</t>
  </si>
  <si>
    <t>ตะกร้า</t>
  </si>
  <si>
    <t>เซเว่น DC สุวรรณภูมิ</t>
  </si>
  <si>
    <t>แพค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</si>
  <si>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</si>
  <si>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</si>
  <si>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</si>
  <si>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</si>
  <si>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</si>
  <si>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ลายเซ็น คนขึ้นของ</t>
  </si>
  <si>
    <t xml:space="preserve">หมายเหตุ
</t>
  </si>
  <si>
    <t xml:space="preserve">รวม </t>
  </si>
  <si>
    <t>ลงชื่อคนขึ้นของ</t>
  </si>
  <si>
    <t>=</t>
  </si>
  <si>
    <t>สตรอเบอร์รี่ ออส 250 กรัม x 27 P</t>
  </si>
  <si>
    <t>กีวีเขียวแพ็ก 2 ผล 140g.x 45 P</t>
  </si>
  <si>
    <t>อป.เจ้าหญิง 200 กรัม  x27P</t>
  </si>
  <si>
    <t xml:space="preserve">อโวคาโดแฮส 150 กรัม x 45 P  </t>
  </si>
  <si>
    <t xml:space="preserve">Red Seed 200 g. x 32 P  ( 8859388000100 )                      </t>
  </si>
  <si>
    <t xml:space="preserve">Red Seedless 150 g. x 32 P ( 8859388007000 )             </t>
  </si>
  <si>
    <t xml:space="preserve">Straw  Aus 250 g. x 27 P ( 2003009710008 )             </t>
  </si>
  <si>
    <t xml:space="preserve">Blue  125 g. x 36 P ( 2003009720007 )                           </t>
  </si>
  <si>
    <t xml:space="preserve">Shine Mus 300 g.  x 15 P ( 8859388000018 )                </t>
  </si>
  <si>
    <t xml:space="preserve">Washington  x 45 P ( 8859388000759 )                    </t>
  </si>
  <si>
    <t xml:space="preserve">Kiwi Green 140 g.  x 45 P  ( 8859388000964 )               </t>
  </si>
  <si>
    <t xml:space="preserve">Princess Apple 200  g.  x 27 P ( 8859388001060 )       </t>
  </si>
  <si>
    <t xml:space="preserve">Mini Plum 200  g.  x 27 P  ( 8859388001091 )             </t>
  </si>
  <si>
    <t xml:space="preserve">Red Seedless 300  g.  x 20 P  ( 8859388001084 )        </t>
  </si>
  <si>
    <t xml:space="preserve">Berry Duo 160g.  x 32 P ( 8859388010239 )                    </t>
  </si>
  <si>
    <t xml:space="preserve">Avocado 150 g.  x 45 P (8859388000209 )                  </t>
  </si>
  <si>
    <t>กีวืทองแพ็ก 2 ผล 140g. x 45 p</t>
  </si>
  <si>
    <t>Gold kiwi 140g. x 45 p ( 8859388001053 )</t>
  </si>
  <si>
    <t>ผู้ส่ง : KNA  7-11 สุวรรณภูมิ คันที่ 1</t>
  </si>
  <si>
    <t>ผู้ส่ง : KNA  7-11 สุวรรณภูมิ คันที่ 2</t>
  </si>
  <si>
    <t>*เบิกตะกร้ากลับด้วยนะคะ 125 ใบ**</t>
  </si>
  <si>
    <t>*เบิกตะกร้ากลับด้วยนะคะ 107 ใบ**</t>
  </si>
  <si>
    <t xml:space="preserve">*เบิกตะกร้ากลับด้วยนะคะ </t>
  </si>
  <si>
    <t>ใบ</t>
  </si>
  <si>
    <t>ของคืน</t>
  </si>
  <si>
    <t>สาลี่ทอง แพ็ก 2 ผล (400g.) x 15 P</t>
  </si>
  <si>
    <t>องุ่นดำไร้เมล็ด 300 กรัม x20P</t>
  </si>
  <si>
    <t>องุ่นดำไร้เมล็ด 150 กรัม x36P</t>
  </si>
  <si>
    <t>Global Trade and Distribution Co., Ltd.
บริษัท โกลบอล เทรด แอนด์ ดิสทริบิวชั่น จำกัด</t>
  </si>
  <si>
    <t>NO</t>
  </si>
  <si>
    <t xml:space="preserve"> สุวรรณภูมิ (SB)</t>
  </si>
  <si>
    <t xml:space="preserve">Red Seedless 300g.  ( 8859388001084 )        </t>
  </si>
  <si>
    <t>Pear 400g (8859388010284 )</t>
  </si>
  <si>
    <t xml:space="preserve">Berry Duo  ( 8859388010239 )                    </t>
  </si>
  <si>
    <t xml:space="preserve">Washington ( 8859388000759 )                    </t>
  </si>
  <si>
    <t xml:space="preserve">Red Seed 200 g. ( 8859388000100 )                      </t>
  </si>
  <si>
    <t xml:space="preserve">Red Seedless 150 g.( 8859388007000 )             </t>
  </si>
  <si>
    <t xml:space="preserve">Blue  125 g. ( 2003009720007 )                           </t>
  </si>
  <si>
    <t xml:space="preserve">BlackGrapesSeedless150 g.( 8859388000025)   </t>
  </si>
  <si>
    <t xml:space="preserve">Straw 250 g.( 2003009710008 )             </t>
  </si>
  <si>
    <t>องุ่นเคียวโฮ 300 กรัม x 15 P</t>
  </si>
  <si>
    <t xml:space="preserve">Kyoho Grape300g('88859388000063)  </t>
  </si>
  <si>
    <t>เชอร์รี่สดนำเข้า150 กรัม(อเมริกา)x36P</t>
  </si>
  <si>
    <t xml:space="preserve">Cherry 150 g ( 8859388008885 )    </t>
  </si>
  <si>
    <t>องุ่นไซน์มัสแคท 300 กรัม x 15 P</t>
  </si>
  <si>
    <t xml:space="preserve">Shine muscat 300 g ( 885938000018 )    </t>
  </si>
  <si>
    <t xml:space="preserve">BlackGrapesSeedless300g.( 8859388010284 ) </t>
  </si>
  <si>
    <t>ลูกไหนจิ๋ว 200 g. x 27 p</t>
  </si>
  <si>
    <t xml:space="preserve">Plum 200  g. ( 8859388001091 )        </t>
  </si>
  <si>
    <t>องุ่นสวีทแซฟไฟร์ 300 กรัม x 15 P</t>
  </si>
  <si>
    <t xml:space="preserve">Sweet Sapphire 300gx 15 P  ( 8859388000223 )                    </t>
  </si>
  <si>
    <t>พุทราจีน 200 กรัม x 27 P</t>
  </si>
  <si>
    <t xml:space="preserve">Jujube 200g.(8859388000087 )             </t>
  </si>
  <si>
    <t>ส้มแพ็ก 4 ผล(450 กรัม) x14 P</t>
  </si>
  <si>
    <t>Mandarin orange P.4 (8859388000445)</t>
  </si>
  <si>
    <t>แอปเปิ้ลแพ็ก 4 ผล(400 กรัม) x14 P</t>
  </si>
  <si>
    <t>Apple P.4 (8859388000568 )</t>
  </si>
  <si>
    <t xml:space="preserve">สตรอเบอร์รี่ 250 กรัม x 27 P </t>
  </si>
  <si>
    <t>วันที่ 18/08/69  ส่งวันที่ PO 19/08/69</t>
  </si>
  <si>
    <t>สาลี่ทอง แพ็ก 4 ผล (800g.) x 8 P</t>
  </si>
  <si>
    <t>Pear 800g (8859388010277 )</t>
  </si>
  <si>
    <t>สาลี่ทอง แพ็ก 2 ผล (400g.) x 8 P</t>
  </si>
  <si>
    <t>ผู้ส่ง : 7-11 สุวรรณภูมิ 4 ล้อจัมโบ้ 62 พี่เอ๋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</si>
</sst>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2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scheme val="minor"/>
    </font>
    <font>
      <sz val="16"/>
      <color theme="1"/>
      <name val="Angsana New"/>
      <family val="1"/>
    </font>
    <font>
      <sz val="11"/>
      <color theme="1"/>
      <name val="Tahoma"/>
      <family val="2"/>
      <charset val="222"/>
      <scheme val="minor"/>
    </font>
    <font>
      <sz val="10"/>
      <name val="Arial"/>
      <family val="2"/>
      <charset val="222"/>
    </font>
    <font>
      <b/>
      <sz val="14"/>
      <color theme="3"/>
      <name val="Arial Narrow"/>
      <family val="2"/>
    </font>
    <font>
      <b/>
      <sz val="14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b/>
      <sz val="22"/>
      <color theme="3"/>
      <name val="Arial Narrow"/>
      <family val="2"/>
    </font>
    <font>
      <b/>
      <sz val="16"/>
      <name val="Arial Narrow"/>
      <family val="2"/>
    </font>
    <font>
      <b/>
      <sz val="11"/>
      <color theme="1"/>
      <name val="Arial Narrow"/>
      <family val="2"/>
    </font>
    <font>
      <b/>
      <sz val="18"/>
      <color theme="1"/>
      <name val="Arial Narrow"/>
      <family val="2"/>
    </font>
    <font>
      <b/>
      <sz val="14"/>
      <color rgb="FFFF0000"/>
      <name val="Arial Narrow"/>
      <family val="2"/>
    </font>
    <font>
      <sz val="11"/>
      <color theme="1"/>
      <name val="Arial Narrow"/>
      <family val="2"/>
    </font>
    <font>
      <b/>
      <sz val="20"/>
      <color theme="1"/>
      <name val="Arial Narrow"/>
      <family val="2"/>
    </font>
    <font>
      <b/>
      <sz val="25"/>
      <color theme="1"/>
      <name val="Angsana New"/>
      <family val="1"/>
    </font>
    <font>
      <b/>
      <sz val="15"/>
      <color theme="1"/>
      <name val="Arial Narrow"/>
      <family val="2"/>
    </font>
    <font>
      <b/>
      <sz val="20"/>
      <name val="Arial Narrow"/>
      <family val="2"/>
    </font>
    <font>
      <b/>
      <sz val="25"/>
      <color theme="1"/>
      <name val="Arial Narrow"/>
      <family val="2"/>
      <charset val="222"/>
    </font>
    <font>
      <b/>
      <sz val="15"/>
      <name val="Arial Narrow"/>
      <family val="2"/>
    </font>
    <font>
      <sz val="17"/>
      <color theme="1"/>
      <name val="Angsana New"/>
      <family val="1"/>
      <charset val="222"/>
    </font>
    <font>
      <b/>
      <sz val="25"/>
      <color rgb="FFFF0000"/>
      <name val="Arial Narrow"/>
      <family val="2"/>
      <charset val="222"/>
    </font>
    <font>
      <b/>
      <u/>
      <sz val="30"/>
      <color theme="1"/>
      <name val="Angsana New"/>
      <family val="1"/>
      <charset val="222"/>
    </font>
    <font>
      <b/>
      <sz val="13"/>
      <color theme="1"/>
      <name val="Arial Narrow"/>
      <family val="2"/>
    </font>
    <font>
      <b/>
      <sz val="13"/>
      <color theme="1"/>
      <name val="Arial Narrow"/>
      <family val="2"/>
      <charset val="222"/>
    </font>
    <font>
      <sz val="13"/>
      <color theme="1"/>
      <name val="Angsana New"/>
      <family val="1"/>
      <charset val="222"/>
    </font>
    <font>
      <b/>
      <sz val="17"/>
      <color theme="1"/>
      <name val="Arial Narrow"/>
      <family val="2"/>
    </font>
    <font>
      <b/>
      <sz val="19"/>
      <color theme="1"/>
      <name val="Arial Narrow"/>
      <family val="2"/>
    </font>
    <font>
      <b/>
      <sz val="19"/>
      <color theme="4" tint="-0.499984740745262"/>
      <name val="Arial Narrow"/>
      <family val="2"/>
    </font>
    <font>
      <b/>
      <sz val="19"/>
      <color rgb="FF7030A0"/>
      <name val="Arial Narrow"/>
      <family val="2"/>
    </font>
    <font>
      <b/>
      <sz val="19"/>
      <color rgb="FF00B050"/>
      <name val="Arial Narrow"/>
      <family val="2"/>
    </font>
    <font>
      <b/>
      <sz val="19"/>
      <name val="Arial Narrow"/>
      <family val="2"/>
    </font>
    <font>
      <b/>
      <sz val="19"/>
      <color rgb="FF000000"/>
      <name val="Arial Narrow"/>
      <family val="2"/>
    </font>
    <font>
      <b/>
      <sz val="19"/>
      <color rgb="FF002060"/>
      <name val="Arial Narrow"/>
      <family val="2"/>
    </font>
    <font>
      <b/>
      <sz val="20"/>
      <color rgb="FF000000"/>
      <name val="Arial Narrow"/>
      <family val="2"/>
    </font>
    <font>
      <b/>
      <sz val="20"/>
      <color theme="9" tint="-0.499984740745262"/>
      <name val="Arial Narrow"/>
      <family val="2"/>
    </font>
    <font>
      <b/>
      <sz val="40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sz val="60"/>
      <color theme="1"/>
      <name val="CordiaUPC"/>
      <family val="2"/>
    </font>
    <font>
      <b/>
      <sz val="60"/>
      <color theme="1"/>
      <name val="CordiaUPC"/>
      <family val="2"/>
    </font>
    <font>
      <b/>
      <sz val="15"/>
      <color theme="1"/>
      <name val="CordiaUPC"/>
      <family val="2"/>
    </font>
    <font>
      <b/>
      <sz val="15"/>
      <name val="CordiaUPC"/>
      <family val="2"/>
    </font>
    <font>
      <b/>
      <sz val="15"/>
      <color rgb="FF000000"/>
      <name val="CordiaUPC"/>
      <family val="2"/>
    </font>
    <font>
      <sz val="15"/>
      <color theme="1"/>
      <name val="CordiaUPC"/>
      <family val="2"/>
    </font>
    <font>
      <sz val="40"/>
      <color theme="1"/>
      <name val="CordiaUPC"/>
      <family val="2"/>
    </font>
    <font>
      <sz val="50"/>
      <color theme="1"/>
      <name val="CordiaUPC"/>
      <family val="2"/>
    </font>
    <font>
      <b/>
      <sz val="50"/>
      <color theme="3"/>
      <name val="CordiaUPC"/>
      <family val="2"/>
    </font>
    <font>
      <b/>
      <sz val="60"/>
      <color theme="1"/>
      <name val="Arial Narrow"/>
      <family val="2"/>
    </font>
    <font>
      <sz val="50"/>
      <color theme="1"/>
      <name val="Arial Narrow"/>
      <family val="2"/>
      <charset val="222"/>
    </font>
    <font>
      <b/>
      <sz val="60"/>
      <name val="Arial Narrow"/>
      <family val="2"/>
    </font>
    <font>
      <b/>
      <sz val="56"/>
      <name val="Arial Narrow"/>
      <family val="2"/>
    </font>
    <font>
      <b/>
      <sz val="56"/>
      <color theme="1"/>
      <name val="Arial Narrow"/>
      <family val="2"/>
    </font>
    <font>
      <b/>
      <sz val="100"/>
      <color rgb="FF0070C0"/>
      <name val="Arial Narrow"/>
      <family val="2"/>
    </font>
    <font>
      <b/>
      <u/>
      <sz val="60"/>
      <color theme="1"/>
      <name val="Arial Narrow"/>
      <family val="2"/>
    </font>
    <font>
      <b/>
      <sz val="70"/>
      <color rgb="FFFF0000"/>
      <name val="Arial Narrow"/>
      <family val="2"/>
    </font>
    <font>
      <sz val="50"/>
      <color theme="1"/>
      <name val="Arial Narrow"/>
      <family val="2"/>
    </font>
    <font>
      <b/>
      <sz val="50"/>
      <color theme="1"/>
      <name val="Arial Narrow"/>
      <family val="2"/>
    </font>
    <font>
      <sz val="40"/>
      <color theme="1"/>
      <name val="Arial Narrow"/>
      <family val="2"/>
    </font>
    <font>
      <b/>
      <sz val="40"/>
      <color theme="1"/>
      <name val="Arial Narrow"/>
      <family val="2"/>
    </font>
    <font>
      <b/>
      <sz val="45"/>
      <color theme="1"/>
      <name val="Arial Narrow"/>
      <family val="2"/>
    </font>
    <font>
      <b/>
      <sz val="65"/>
      <color theme="1"/>
      <name val="Arial Narrow"/>
      <family val="2"/>
    </font>
    <font>
      <sz val="40"/>
      <color theme="1"/>
      <name val="Arial"/>
      <family val="2"/>
    </font>
    <font>
      <b/>
      <sz val="60"/>
      <color theme="3"/>
      <name val="Arial Narrow"/>
      <family val="2"/>
      <charset val="222"/>
    </font>
    <font>
      <b/>
      <sz val="40"/>
      <color theme="3"/>
      <name val="Arial Narrow"/>
      <family val="2"/>
      <charset val="222"/>
    </font>
    <font>
      <b/>
      <sz val="65"/>
      <color theme="1"/>
      <name val="CordiaUPC"/>
      <family val="2"/>
    </font>
    <font>
      <b/>
      <sz val="40"/>
      <color rgb="FF00B050"/>
      <name val="Arial"/>
      <family val="2"/>
    </font>
    <font>
      <b/>
      <sz val="50"/>
      <color theme="1"/>
      <name val="Arial"/>
      <family val="2"/>
    </font>
    <font>
      <b/>
      <sz val="50"/>
      <color rgb="FF000000"/>
      <name val="Arial"/>
      <family val="2"/>
    </font>
    <font>
      <b/>
      <sz val="50"/>
      <name val="Arial"/>
      <family val="2"/>
    </font>
    <font>
      <b/>
      <sz val="55"/>
      <color rgb="FF7030A0"/>
      <name val="Arial"/>
      <family val="2"/>
    </font>
    <font>
      <b/>
      <sz val="55"/>
      <color rgb="FF00B050"/>
      <name val="Arial"/>
      <family val="2"/>
    </font>
    <font>
      <b/>
      <sz val="50"/>
      <color rgb="FF0000FF"/>
      <name val="Arial"/>
      <family val="2"/>
    </font>
    <font>
      <b/>
      <sz val="50"/>
      <color rgb="FF00B05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2" fillId="0" borderId="0"/>
    <xf numFmtId="0" fontId="1" fillId="0" borderId="0"/>
  </cellStyleXfs>
  <cellXfs count="271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13" fillId="2" borderId="0" xfId="1" applyFont="1" applyFill="1" applyBorder="1" applyAlignment="1">
      <alignment horizontal="center" vertical="center"/>
    </xf>
    <xf numFmtId="0" fontId="15" fillId="2" borderId="0" xfId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5" borderId="17" xfId="1" applyFont="1" applyFill="1" applyBorder="1" applyAlignment="1">
      <alignment horizontal="center" vertical="center" wrapText="1"/>
    </xf>
    <xf numFmtId="0" fontId="8" fillId="5" borderId="12" xfId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2" fillId="5" borderId="28" xfId="1" applyFont="1" applyFill="1" applyBorder="1" applyAlignment="1">
      <alignment horizontal="center" vertical="center" wrapText="1"/>
    </xf>
    <xf numFmtId="0" fontId="22" fillId="5" borderId="27" xfId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1" fillId="5" borderId="24" xfId="1" applyFont="1" applyFill="1" applyBorder="1" applyAlignment="1">
      <alignment horizontal="center" vertical="center"/>
    </xf>
    <xf numFmtId="0" fontId="24" fillId="5" borderId="24" xfId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26" fillId="0" borderId="24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19" fillId="0" borderId="24" xfId="0" applyFont="1" applyBorder="1" applyAlignment="1">
      <alignment horizontal="left" vertical="center"/>
    </xf>
    <xf numFmtId="0" fontId="19" fillId="0" borderId="24" xfId="0" applyFont="1" applyBorder="1" applyAlignment="1">
      <alignment horizontal="center" vertical="center"/>
    </xf>
    <xf numFmtId="0" fontId="31" fillId="4" borderId="25" xfId="1" applyFont="1" applyFill="1" applyBorder="1" applyAlignment="1">
      <alignment horizontal="center" vertical="center"/>
    </xf>
    <xf numFmtId="0" fontId="34" fillId="0" borderId="26" xfId="1" quotePrefix="1" applyFont="1" applyBorder="1" applyAlignment="1">
      <alignment horizontal="center" vertical="center"/>
    </xf>
    <xf numFmtId="0" fontId="34" fillId="0" borderId="23" xfId="1" quotePrefix="1" applyFont="1" applyBorder="1" applyAlignment="1">
      <alignment horizontal="center" vertical="center"/>
    </xf>
    <xf numFmtId="0" fontId="34" fillId="3" borderId="23" xfId="1" quotePrefix="1" applyFont="1" applyFill="1" applyBorder="1" applyAlignment="1">
      <alignment horizontal="center" vertical="center"/>
    </xf>
    <xf numFmtId="0" fontId="34" fillId="3" borderId="26" xfId="1" quotePrefix="1" applyFont="1" applyFill="1" applyBorder="1" applyAlignment="1">
      <alignment horizontal="center" vertical="center"/>
    </xf>
    <xf numFmtId="0" fontId="36" fillId="4" borderId="25" xfId="1" quotePrefix="1" applyFont="1" applyFill="1" applyBorder="1" applyAlignment="1">
      <alignment horizontal="center" vertical="center"/>
    </xf>
    <xf numFmtId="0" fontId="17" fillId="0" borderId="12" xfId="1" applyFont="1" applyBorder="1" applyAlignment="1">
      <alignment vertical="center"/>
    </xf>
    <xf numFmtId="0" fontId="38" fillId="0" borderId="13" xfId="1" applyFont="1" applyBorder="1" applyAlignment="1">
      <alignment horizontal="left" vertical="center"/>
    </xf>
    <xf numFmtId="0" fontId="20" fillId="0" borderId="12" xfId="1" applyFont="1" applyBorder="1" applyAlignment="1">
      <alignment horizontal="left" vertical="center"/>
    </xf>
    <xf numFmtId="0" fontId="37" fillId="0" borderId="12" xfId="1" applyFont="1" applyBorder="1" applyAlignment="1">
      <alignment vertical="center"/>
    </xf>
    <xf numFmtId="0" fontId="20" fillId="0" borderId="14" xfId="1" applyFont="1" applyBorder="1" applyAlignment="1">
      <alignment horizontal="left" vertical="center"/>
    </xf>
    <xf numFmtId="0" fontId="17" fillId="0" borderId="14" xfId="1" applyFont="1" applyBorder="1" applyAlignment="1">
      <alignment horizontal="left" vertical="center"/>
    </xf>
    <xf numFmtId="0" fontId="38" fillId="0" borderId="14" xfId="1" applyFont="1" applyBorder="1" applyAlignment="1">
      <alignment horizontal="left" vertical="center"/>
    </xf>
    <xf numFmtId="0" fontId="39" fillId="5" borderId="24" xfId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vertical="center"/>
    </xf>
    <xf numFmtId="0" fontId="40" fillId="0" borderId="1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0" fillId="0" borderId="1" xfId="0" applyFont="1" applyBorder="1" applyAlignment="1">
      <alignment horizontal="right" vertical="center"/>
    </xf>
    <xf numFmtId="0" fontId="40" fillId="0" borderId="4" xfId="0" applyFont="1" applyBorder="1" applyAlignment="1">
      <alignment vertical="center"/>
    </xf>
    <xf numFmtId="0" fontId="40" fillId="0" borderId="4" xfId="0" applyFont="1" applyBorder="1" applyAlignment="1">
      <alignment vertical="top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right" vertical="center"/>
    </xf>
    <xf numFmtId="0" fontId="40" fillId="0" borderId="0" xfId="0" applyFont="1" applyAlignment="1">
      <alignment vertical="top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right"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Fill="1" applyAlignment="1">
      <alignment horizontal="center" vertical="center"/>
    </xf>
    <xf numFmtId="0" fontId="48" fillId="0" borderId="0" xfId="0" applyFont="1" applyFill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4" borderId="17" xfId="1" applyFont="1" applyFill="1" applyBorder="1" applyAlignment="1">
      <alignment horizontal="center" vertical="center" wrapText="1"/>
    </xf>
    <xf numFmtId="0" fontId="58" fillId="4" borderId="12" xfId="1" applyFont="1" applyFill="1" applyBorder="1" applyAlignment="1">
      <alignment horizontal="center" vertical="center" wrapText="1"/>
    </xf>
    <xf numFmtId="0" fontId="59" fillId="2" borderId="43" xfId="1" applyFont="1" applyFill="1" applyBorder="1" applyAlignment="1">
      <alignment horizontal="center" vertical="center" wrapText="1"/>
    </xf>
    <xf numFmtId="0" fontId="59" fillId="6" borderId="44" xfId="1" applyFont="1" applyFill="1" applyBorder="1" applyAlignment="1">
      <alignment horizontal="center" vertical="center" wrapText="1"/>
    </xf>
    <xf numFmtId="0" fontId="59" fillId="7" borderId="44" xfId="1" applyFont="1" applyFill="1" applyBorder="1" applyAlignment="1">
      <alignment horizontal="center" vertical="center" wrapText="1"/>
    </xf>
    <xf numFmtId="0" fontId="59" fillId="4" borderId="44" xfId="1" applyFont="1" applyFill="1" applyBorder="1" applyAlignment="1">
      <alignment horizontal="center" vertical="center" wrapText="1"/>
    </xf>
    <xf numFmtId="0" fontId="59" fillId="7" borderId="45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5" fillId="0" borderId="24" xfId="0" applyFont="1" applyFill="1" applyBorder="1" applyAlignment="1">
      <alignment horizontal="center" vertical="center"/>
    </xf>
    <xf numFmtId="0" fontId="66" fillId="0" borderId="29" xfId="0" applyFont="1" applyBorder="1" applyAlignment="1">
      <alignment horizontal="left" vertical="center"/>
    </xf>
    <xf numFmtId="0" fontId="67" fillId="0" borderId="30" xfId="0" applyFont="1" applyFill="1" applyBorder="1" applyAlignment="1">
      <alignment horizontal="center" vertical="center"/>
    </xf>
    <xf numFmtId="0" fontId="67" fillId="0" borderId="24" xfId="0" applyFont="1" applyFill="1" applyBorder="1" applyAlignment="1">
      <alignment horizontal="center" vertical="center"/>
    </xf>
    <xf numFmtId="0" fontId="67" fillId="0" borderId="33" xfId="0" applyFont="1" applyBorder="1" applyAlignment="1">
      <alignment horizontal="left" vertical="center"/>
    </xf>
    <xf numFmtId="0" fontId="66" fillId="0" borderId="48" xfId="0" applyFont="1" applyFill="1" applyBorder="1" applyAlignment="1">
      <alignment vertical="center"/>
    </xf>
    <xf numFmtId="0" fontId="66" fillId="0" borderId="40" xfId="0" applyFont="1" applyFill="1" applyBorder="1" applyAlignment="1">
      <alignment vertical="center"/>
    </xf>
    <xf numFmtId="0" fontId="67" fillId="0" borderId="34" xfId="0" applyFont="1" applyBorder="1" applyAlignment="1">
      <alignment horizontal="left" vertical="center"/>
    </xf>
    <xf numFmtId="0" fontId="66" fillId="0" borderId="47" xfId="0" applyFont="1" applyFill="1" applyBorder="1" applyAlignment="1">
      <alignment vertical="center"/>
    </xf>
    <xf numFmtId="0" fontId="66" fillId="0" borderId="41" xfId="0" applyFont="1" applyFill="1" applyBorder="1" applyAlignment="1">
      <alignment vertical="center"/>
    </xf>
    <xf numFmtId="0" fontId="67" fillId="0" borderId="15" xfId="0" applyFont="1" applyBorder="1" applyAlignment="1">
      <alignment horizontal="left" vertical="center"/>
    </xf>
    <xf numFmtId="0" fontId="66" fillId="0" borderId="19" xfId="0" applyFont="1" applyFill="1" applyBorder="1" applyAlignment="1">
      <alignment vertical="center"/>
    </xf>
    <xf numFmtId="0" fontId="66" fillId="0" borderId="13" xfId="0" applyFont="1" applyFill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9" fillId="0" borderId="0" xfId="1" applyFont="1" applyBorder="1" applyAlignment="1">
      <alignment vertical="center"/>
    </xf>
    <xf numFmtId="0" fontId="52" fillId="0" borderId="0" xfId="0" applyFont="1" applyBorder="1" applyAlignment="1">
      <alignment horizontal="center" vertical="center"/>
    </xf>
    <xf numFmtId="0" fontId="50" fillId="0" borderId="0" xfId="1" applyFont="1" applyBorder="1" applyAlignment="1">
      <alignment horizontal="left" vertical="center"/>
    </xf>
    <xf numFmtId="0" fontId="51" fillId="0" borderId="0" xfId="1" applyFont="1" applyBorder="1" applyAlignment="1">
      <alignment vertical="center"/>
    </xf>
    <xf numFmtId="0" fontId="65" fillId="0" borderId="0" xfId="0" applyFont="1" applyFill="1" applyBorder="1" applyAlignment="1">
      <alignment vertical="center"/>
    </xf>
    <xf numFmtId="0" fontId="60" fillId="8" borderId="24" xfId="1" applyFont="1" applyFill="1" applyBorder="1" applyAlignment="1">
      <alignment horizontal="center" vertical="center"/>
    </xf>
    <xf numFmtId="0" fontId="63" fillId="8" borderId="24" xfId="1" applyFont="1" applyFill="1" applyBorder="1" applyAlignment="1">
      <alignment horizontal="center" vertical="center"/>
    </xf>
    <xf numFmtId="0" fontId="47" fillId="8" borderId="2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0" fontId="53" fillId="0" borderId="29" xfId="0" applyFont="1" applyBorder="1" applyAlignment="1">
      <alignment horizontal="center" vertical="center"/>
    </xf>
    <xf numFmtId="0" fontId="53" fillId="0" borderId="24" xfId="0" applyFont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0" fontId="53" fillId="0" borderId="0" xfId="0" applyFont="1" applyBorder="1" applyAlignment="1">
      <alignment horizontal="center" vertical="center"/>
    </xf>
    <xf numFmtId="0" fontId="64" fillId="0" borderId="0" xfId="0" applyFont="1" applyFill="1" applyBorder="1" applyAlignment="1">
      <alignment horizontal="center" vertical="center"/>
    </xf>
    <xf numFmtId="0" fontId="67" fillId="0" borderId="0" xfId="0" applyFont="1" applyFill="1" applyBorder="1" applyAlignment="1"/>
    <xf numFmtId="0" fontId="67" fillId="0" borderId="16" xfId="0" applyFont="1" applyFill="1" applyBorder="1" applyAlignment="1"/>
    <xf numFmtId="0" fontId="69" fillId="0" borderId="22" xfId="0" applyFont="1" applyFill="1" applyBorder="1" applyAlignment="1">
      <alignment horizontal="center" vertical="center"/>
    </xf>
    <xf numFmtId="0" fontId="69" fillId="8" borderId="24" xfId="1" applyFont="1" applyFill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1" fontId="40" fillId="0" borderId="0" xfId="0" applyNumberFormat="1" applyFont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4" fillId="0" borderId="13" xfId="1" applyFont="1" applyBorder="1" applyAlignment="1">
      <alignment horizontal="left" vertical="center"/>
    </xf>
    <xf numFmtId="0" fontId="75" fillId="0" borderId="40" xfId="1" applyFont="1" applyBorder="1" applyAlignment="1">
      <alignment vertical="center"/>
    </xf>
    <xf numFmtId="0" fontId="77" fillId="0" borderId="40" xfId="1" applyFont="1" applyBorder="1" applyAlignment="1">
      <alignment horizontal="left" vertical="center"/>
    </xf>
    <xf numFmtId="0" fontId="76" fillId="0" borderId="40" xfId="1" applyFont="1" applyBorder="1" applyAlignment="1">
      <alignment vertical="center"/>
    </xf>
    <xf numFmtId="0" fontId="76" fillId="0" borderId="14" xfId="1" applyFont="1" applyBorder="1" applyAlignment="1">
      <alignment vertical="center"/>
    </xf>
    <xf numFmtId="0" fontId="75" fillId="0" borderId="12" xfId="1" applyFont="1" applyBorder="1" applyAlignment="1">
      <alignment horizontal="center" vertical="center"/>
    </xf>
    <xf numFmtId="0" fontId="75" fillId="0" borderId="13" xfId="1" applyFont="1" applyBorder="1" applyAlignment="1">
      <alignment horizontal="center" vertical="center"/>
    </xf>
    <xf numFmtId="0" fontId="75" fillId="0" borderId="12" xfId="1" applyFont="1" applyBorder="1" applyAlignment="1">
      <alignment horizontal="center" vertical="center"/>
    </xf>
    <xf numFmtId="0" fontId="75" fillId="0" borderId="13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2" fillId="0" borderId="0" xfId="1" applyFont="1" applyBorder="1" applyAlignment="1">
      <alignment vertical="center"/>
    </xf>
    <xf numFmtId="0" fontId="52" fillId="0" borderId="12" xfId="1" applyFont="1" applyBorder="1" applyAlignment="1">
      <alignment vertical="center"/>
    </xf>
    <xf numFmtId="0" fontId="80" fillId="0" borderId="33" xfId="1" applyFont="1" applyFill="1" applyBorder="1" applyAlignment="1">
      <alignment horizontal="center" vertical="center"/>
    </xf>
    <xf numFmtId="0" fontId="80" fillId="0" borderId="40" xfId="1" applyFont="1" applyFill="1" applyBorder="1" applyAlignment="1">
      <alignment horizontal="center" vertical="center"/>
    </xf>
    <xf numFmtId="0" fontId="80" fillId="0" borderId="37" xfId="1" applyFont="1" applyFill="1" applyBorder="1" applyAlignment="1">
      <alignment horizontal="center" vertical="center"/>
    </xf>
    <xf numFmtId="0" fontId="81" fillId="0" borderId="36" xfId="1" quotePrefix="1" applyFont="1" applyFill="1" applyBorder="1" applyAlignment="1">
      <alignment horizontal="center" vertical="center"/>
    </xf>
    <xf numFmtId="0" fontId="81" fillId="0" borderId="42" xfId="1" quotePrefix="1" applyFont="1" applyFill="1" applyBorder="1" applyAlignment="1">
      <alignment horizontal="center" vertical="center"/>
    </xf>
    <xf numFmtId="0" fontId="75" fillId="0" borderId="12" xfId="1" applyFont="1" applyBorder="1" applyAlignment="1">
      <alignment vertical="center"/>
    </xf>
    <xf numFmtId="0" fontId="80" fillId="0" borderId="48" xfId="1" applyFont="1" applyFill="1" applyBorder="1" applyAlignment="1">
      <alignment horizontal="center" vertical="center"/>
    </xf>
    <xf numFmtId="0" fontId="81" fillId="0" borderId="38" xfId="1" quotePrefix="1" applyFont="1" applyFill="1" applyBorder="1" applyAlignment="1">
      <alignment horizontal="center" vertical="center"/>
    </xf>
    <xf numFmtId="0" fontId="81" fillId="0" borderId="46" xfId="1" quotePrefix="1" applyFont="1" applyFill="1" applyBorder="1" applyAlignment="1">
      <alignment horizontal="center" vertical="center"/>
    </xf>
    <xf numFmtId="0" fontId="80" fillId="0" borderId="39" xfId="1" applyFont="1" applyFill="1" applyBorder="1" applyAlignment="1">
      <alignment horizontal="center" vertical="center"/>
    </xf>
    <xf numFmtId="0" fontId="80" fillId="0" borderId="49" xfId="1" applyFont="1" applyFill="1" applyBorder="1" applyAlignment="1">
      <alignment horizontal="center" vertical="center"/>
    </xf>
    <xf numFmtId="0" fontId="80" fillId="2" borderId="33" xfId="1" applyFont="1" applyFill="1" applyBorder="1" applyAlignment="1">
      <alignment horizontal="center" vertical="center"/>
    </xf>
    <xf numFmtId="0" fontId="81" fillId="2" borderId="38" xfId="1" quotePrefix="1" applyFont="1" applyFill="1" applyBorder="1" applyAlignment="1">
      <alignment horizontal="center" vertical="center"/>
    </xf>
    <xf numFmtId="0" fontId="70" fillId="0" borderId="12" xfId="0" applyFont="1" applyBorder="1" applyAlignment="1">
      <alignment horizontal="center" vertical="center"/>
    </xf>
    <xf numFmtId="0" fontId="70" fillId="0" borderId="13" xfId="0" applyFont="1" applyBorder="1" applyAlignment="1">
      <alignment horizontal="center" vertical="center"/>
    </xf>
    <xf numFmtId="0" fontId="79" fillId="0" borderId="12" xfId="1" applyFont="1" applyFill="1" applyBorder="1" applyAlignment="1">
      <alignment horizontal="center" vertical="center"/>
    </xf>
    <xf numFmtId="0" fontId="79" fillId="0" borderId="13" xfId="1" applyFont="1" applyFill="1" applyBorder="1" applyAlignment="1">
      <alignment horizontal="center" vertical="center"/>
    </xf>
    <xf numFmtId="0" fontId="70" fillId="0" borderId="14" xfId="0" applyFont="1" applyBorder="1" applyAlignment="1">
      <alignment horizontal="center" vertical="center"/>
    </xf>
    <xf numFmtId="0" fontId="78" fillId="0" borderId="17" xfId="1" applyFont="1" applyBorder="1" applyAlignment="1">
      <alignment horizontal="center" vertical="center"/>
    </xf>
    <xf numFmtId="0" fontId="78" fillId="0" borderId="19" xfId="1" applyFont="1" applyBorder="1" applyAlignment="1">
      <alignment horizontal="center" vertical="center"/>
    </xf>
    <xf numFmtId="0" fontId="76" fillId="0" borderId="12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2" xfId="1" applyFont="1" applyFill="1" applyBorder="1" applyAlignment="1">
      <alignment horizontal="center" vertical="center"/>
    </xf>
    <xf numFmtId="0" fontId="76" fillId="0" borderId="13" xfId="1" applyFont="1" applyFill="1" applyBorder="1" applyAlignment="1">
      <alignment horizontal="center" vertical="center"/>
    </xf>
    <xf numFmtId="0" fontId="56" fillId="4" borderId="12" xfId="0" applyFont="1" applyFill="1" applyBorder="1" applyAlignment="1">
      <alignment horizontal="center" vertical="center"/>
    </xf>
    <xf numFmtId="0" fontId="56" fillId="4" borderId="14" xfId="0" applyFont="1" applyFill="1" applyBorder="1" applyAlignment="1">
      <alignment horizontal="center" vertical="center"/>
    </xf>
    <xf numFmtId="0" fontId="56" fillId="4" borderId="13" xfId="0" applyFont="1" applyFill="1" applyBorder="1" applyAlignment="1">
      <alignment horizontal="center" vertical="center"/>
    </xf>
    <xf numFmtId="0" fontId="79" fillId="0" borderId="14" xfId="1" applyFont="1" applyFill="1" applyBorder="1" applyAlignment="1">
      <alignment horizontal="center" vertical="center"/>
    </xf>
    <xf numFmtId="0" fontId="78" fillId="0" borderId="20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15" xfId="1" applyFont="1" applyBorder="1" applyAlignment="1">
      <alignment horizontal="center" vertical="center"/>
    </xf>
    <xf numFmtId="0" fontId="58" fillId="4" borderId="18" xfId="1" applyFont="1" applyFill="1" applyBorder="1" applyAlignment="1">
      <alignment horizontal="center" vertical="center" wrapText="1"/>
    </xf>
    <xf numFmtId="0" fontId="58" fillId="4" borderId="17" xfId="1" applyFont="1" applyFill="1" applyBorder="1" applyAlignment="1">
      <alignment horizontal="center" vertical="center" wrapText="1"/>
    </xf>
    <xf numFmtId="0" fontId="58" fillId="4" borderId="21" xfId="1" applyFont="1" applyFill="1" applyBorder="1" applyAlignment="1">
      <alignment horizontal="center" vertical="center" wrapText="1"/>
    </xf>
    <xf numFmtId="0" fontId="58" fillId="4" borderId="20" xfId="1" applyFont="1" applyFill="1" applyBorder="1" applyAlignment="1">
      <alignment horizontal="center" vertical="center" wrapText="1"/>
    </xf>
    <xf numFmtId="0" fontId="58" fillId="4" borderId="15" xfId="1" applyFont="1" applyFill="1" applyBorder="1" applyAlignment="1">
      <alignment horizontal="center" vertical="center" wrapText="1"/>
    </xf>
    <xf numFmtId="0" fontId="58" fillId="4" borderId="19" xfId="1" applyFont="1" applyFill="1" applyBorder="1" applyAlignment="1">
      <alignment horizontal="center" vertical="center" wrapText="1"/>
    </xf>
    <xf numFmtId="0" fontId="75" fillId="0" borderId="18" xfId="1" applyFont="1" applyBorder="1" applyAlignment="1">
      <alignment horizontal="center" vertical="center"/>
    </xf>
    <xf numFmtId="0" fontId="75" fillId="0" borderId="15" xfId="1" applyFont="1" applyBorder="1" applyAlignment="1">
      <alignment horizontal="center" vertical="center"/>
    </xf>
    <xf numFmtId="0" fontId="72" fillId="4" borderId="18" xfId="1" applyFont="1" applyFill="1" applyBorder="1" applyAlignment="1">
      <alignment horizontal="center" vertical="center" wrapText="1"/>
    </xf>
    <xf numFmtId="0" fontId="72" fillId="4" borderId="21" xfId="1" applyFont="1" applyFill="1" applyBorder="1" applyAlignment="1">
      <alignment horizontal="center" vertical="center" wrapText="1"/>
    </xf>
    <xf numFmtId="0" fontId="72" fillId="4" borderId="13" xfId="1" applyFont="1" applyFill="1" applyBorder="1" applyAlignment="1">
      <alignment horizontal="center" vertical="center" wrapText="1"/>
    </xf>
    <xf numFmtId="0" fontId="75" fillId="0" borderId="12" xfId="1" applyFont="1" applyBorder="1" applyAlignment="1">
      <alignment horizontal="center" vertical="center"/>
    </xf>
    <xf numFmtId="0" fontId="75" fillId="0" borderId="13" xfId="1" applyFont="1" applyBorder="1" applyAlignment="1">
      <alignment horizontal="center" vertical="center"/>
    </xf>
    <xf numFmtId="0" fontId="61" fillId="4" borderId="18" xfId="1" applyFont="1" applyFill="1" applyBorder="1" applyAlignment="1">
      <alignment horizontal="center" vertical="center"/>
    </xf>
    <xf numFmtId="0" fontId="61" fillId="4" borderId="22" xfId="1" applyFont="1" applyFill="1" applyBorder="1" applyAlignment="1">
      <alignment horizontal="center" vertical="center"/>
    </xf>
    <xf numFmtId="0" fontId="61" fillId="4" borderId="17" xfId="1" applyFont="1" applyFill="1" applyBorder="1" applyAlignment="1">
      <alignment horizontal="center" vertical="center"/>
    </xf>
    <xf numFmtId="0" fontId="61" fillId="4" borderId="21" xfId="1" applyFont="1" applyFill="1" applyBorder="1" applyAlignment="1">
      <alignment horizontal="center" vertical="center"/>
    </xf>
    <xf numFmtId="0" fontId="61" fillId="4" borderId="0" xfId="1" applyFont="1" applyFill="1" applyBorder="1" applyAlignment="1">
      <alignment horizontal="center" vertical="center"/>
    </xf>
    <xf numFmtId="0" fontId="61" fillId="4" borderId="20" xfId="1" applyFont="1" applyFill="1" applyBorder="1" applyAlignment="1">
      <alignment horizontal="center" vertical="center"/>
    </xf>
    <xf numFmtId="0" fontId="61" fillId="4" borderId="15" xfId="1" applyFont="1" applyFill="1" applyBorder="1" applyAlignment="1">
      <alignment horizontal="center" vertical="center"/>
    </xf>
    <xf numFmtId="0" fontId="61" fillId="4" borderId="16" xfId="1" applyFont="1" applyFill="1" applyBorder="1" applyAlignment="1">
      <alignment horizontal="center" vertical="center"/>
    </xf>
    <xf numFmtId="0" fontId="61" fillId="4" borderId="19" xfId="1" applyFont="1" applyFill="1" applyBorder="1" applyAlignment="1">
      <alignment horizontal="center" vertical="center"/>
    </xf>
    <xf numFmtId="0" fontId="76" fillId="0" borderId="21" xfId="1" applyFont="1" applyBorder="1" applyAlignment="1">
      <alignment horizontal="center" vertical="center"/>
    </xf>
    <xf numFmtId="0" fontId="62" fillId="8" borderId="29" xfId="0" applyFont="1" applyFill="1" applyBorder="1" applyAlignment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67" fillId="0" borderId="18" xfId="0" applyFont="1" applyBorder="1" applyAlignment="1">
      <alignment horizontal="center" vertical="center"/>
    </xf>
    <xf numFmtId="0" fontId="67" fillId="0" borderId="17" xfId="0" applyFont="1" applyBorder="1" applyAlignment="1">
      <alignment horizontal="center" vertical="center"/>
    </xf>
    <xf numFmtId="0" fontId="66" fillId="0" borderId="33" xfId="0" applyFont="1" applyBorder="1" applyAlignment="1">
      <alignment horizontal="center" vertical="center"/>
    </xf>
    <xf numFmtId="0" fontId="66" fillId="0" borderId="48" xfId="0" applyFont="1" applyBorder="1" applyAlignment="1">
      <alignment horizontal="center" vertical="center"/>
    </xf>
    <xf numFmtId="0" fontId="66" fillId="0" borderId="34" xfId="0" applyFont="1" applyBorder="1" applyAlignment="1">
      <alignment horizontal="center" vertical="center"/>
    </xf>
    <xf numFmtId="0" fontId="66" fillId="0" borderId="47" xfId="0" applyFont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0" fontId="65" fillId="0" borderId="22" xfId="0" applyFont="1" applyFill="1" applyBorder="1" applyAlignment="1">
      <alignment horizontal="center" vertical="center"/>
    </xf>
    <xf numFmtId="0" fontId="67" fillId="0" borderId="0" xfId="0" applyFont="1" applyFill="1" applyBorder="1" applyAlignment="1">
      <alignment horizontal="left"/>
    </xf>
    <xf numFmtId="0" fontId="68" fillId="0" borderId="0" xfId="0" applyFont="1" applyFill="1" applyAlignment="1">
      <alignment horizontal="center" vertical="center"/>
    </xf>
    <xf numFmtId="0" fontId="66" fillId="0" borderId="15" xfId="0" applyFont="1" applyBorder="1" applyAlignment="1">
      <alignment horizontal="center" vertical="center"/>
    </xf>
    <xf numFmtId="0" fontId="66" fillId="0" borderId="19" xfId="0" applyFont="1" applyBorder="1" applyAlignment="1">
      <alignment horizontal="center" vertical="center"/>
    </xf>
    <xf numFmtId="0" fontId="73" fillId="0" borderId="0" xfId="0" applyFont="1" applyFill="1" applyBorder="1" applyAlignment="1">
      <alignment horizontal="left"/>
    </xf>
    <xf numFmtId="0" fontId="73" fillId="0" borderId="16" xfId="0" applyFont="1" applyFill="1" applyBorder="1" applyAlignment="1">
      <alignment horizontal="left"/>
    </xf>
    <xf numFmtId="0" fontId="55" fillId="4" borderId="12" xfId="1" applyFont="1" applyFill="1" applyBorder="1" applyAlignment="1">
      <alignment horizontal="center" vertical="center" wrapText="1"/>
    </xf>
    <xf numFmtId="0" fontId="55" fillId="4" borderId="14" xfId="1" applyFont="1" applyFill="1" applyBorder="1" applyAlignment="1">
      <alignment horizontal="center" vertical="center" wrapText="1"/>
    </xf>
    <xf numFmtId="0" fontId="55" fillId="4" borderId="13" xfId="1" applyFont="1" applyFill="1" applyBorder="1" applyAlignment="1">
      <alignment horizontal="center" vertical="center" wrapText="1"/>
    </xf>
    <xf numFmtId="0" fontId="71" fillId="4" borderId="17" xfId="1" applyFont="1" applyFill="1" applyBorder="1" applyAlignment="1">
      <alignment horizontal="center" vertical="center"/>
    </xf>
    <xf numFmtId="0" fontId="71" fillId="4" borderId="20" xfId="1" applyFont="1" applyFill="1" applyBorder="1" applyAlignment="1">
      <alignment horizontal="center" vertical="center"/>
    </xf>
    <xf numFmtId="0" fontId="71" fillId="4" borderId="19" xfId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49" fontId="40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right" vertical="center"/>
    </xf>
    <xf numFmtId="0" fontId="40" fillId="0" borderId="2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1" fontId="40" fillId="0" borderId="0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right" vertical="center"/>
    </xf>
    <xf numFmtId="0" fontId="4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0" fillId="0" borderId="4" xfId="0" applyFont="1" applyBorder="1" applyAlignment="1">
      <alignment horizontal="center" vertical="top"/>
    </xf>
    <xf numFmtId="0" fontId="40" fillId="0" borderId="5" xfId="0" applyFont="1" applyBorder="1" applyAlignment="1">
      <alignment horizontal="center" vertical="top"/>
    </xf>
    <xf numFmtId="0" fontId="40" fillId="0" borderId="6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30" fillId="0" borderId="12" xfId="1" applyFont="1" applyBorder="1" applyAlignment="1">
      <alignment horizontal="center" vertical="center"/>
    </xf>
    <xf numFmtId="0" fontId="30" fillId="0" borderId="13" xfId="1" applyFont="1" applyBorder="1" applyAlignment="1">
      <alignment horizontal="center" vertical="center"/>
    </xf>
    <xf numFmtId="0" fontId="35" fillId="0" borderId="24" xfId="1" applyFont="1" applyBorder="1" applyAlignment="1">
      <alignment horizontal="center" vertical="center"/>
    </xf>
    <xf numFmtId="0" fontId="35" fillId="0" borderId="12" xfId="1" applyFont="1" applyBorder="1" applyAlignment="1">
      <alignment horizontal="center" vertical="center"/>
    </xf>
    <xf numFmtId="0" fontId="35" fillId="0" borderId="13" xfId="1" applyFont="1" applyBorder="1" applyAlignment="1">
      <alignment horizontal="center" vertical="center"/>
    </xf>
    <xf numFmtId="0" fontId="32" fillId="0" borderId="12" xfId="1" applyFont="1" applyBorder="1" applyAlignment="1">
      <alignment horizontal="center" vertical="center"/>
    </xf>
    <xf numFmtId="0" fontId="32" fillId="0" borderId="13" xfId="1" applyFont="1" applyBorder="1" applyAlignment="1">
      <alignment horizontal="center" vertical="center"/>
    </xf>
    <xf numFmtId="0" fontId="33" fillId="0" borderId="12" xfId="1" applyFont="1" applyBorder="1" applyAlignment="1">
      <alignment horizontal="center" vertical="center"/>
    </xf>
    <xf numFmtId="0" fontId="33" fillId="0" borderId="13" xfId="1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18" fillId="0" borderId="0" xfId="0" applyFont="1" applyAlignment="1">
      <alignment horizontal="center" vertical="top"/>
    </xf>
    <xf numFmtId="0" fontId="11" fillId="5" borderId="18" xfId="1" applyFont="1" applyFill="1" applyBorder="1" applyAlignment="1">
      <alignment horizontal="center" vertical="center"/>
    </xf>
    <xf numFmtId="0" fontId="11" fillId="5" borderId="17" xfId="1" applyFont="1" applyFill="1" applyBorder="1" applyAlignment="1">
      <alignment horizontal="center" vertical="center"/>
    </xf>
    <xf numFmtId="0" fontId="11" fillId="5" borderId="21" xfId="1" applyFont="1" applyFill="1" applyBorder="1" applyAlignment="1">
      <alignment horizontal="center" vertical="center"/>
    </xf>
    <xf numFmtId="0" fontId="11" fillId="5" borderId="20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9" xfId="1" applyFont="1" applyFill="1" applyBorder="1" applyAlignment="1">
      <alignment horizontal="center" vertical="center"/>
    </xf>
    <xf numFmtId="0" fontId="7" fillId="5" borderId="12" xfId="1" applyFont="1" applyFill="1" applyBorder="1" applyAlignment="1">
      <alignment horizontal="center" vertical="center" wrapText="1"/>
    </xf>
    <xf numFmtId="0" fontId="7" fillId="5" borderId="14" xfId="1" applyFont="1" applyFill="1" applyBorder="1" applyAlignment="1">
      <alignment horizontal="center" vertical="center" wrapText="1"/>
    </xf>
    <xf numFmtId="0" fontId="7" fillId="5" borderId="13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6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30" fillId="5" borderId="18" xfId="1" applyFont="1" applyFill="1" applyBorder="1" applyAlignment="1">
      <alignment horizontal="center" vertical="center"/>
    </xf>
    <xf numFmtId="0" fontId="30" fillId="5" borderId="22" xfId="1" applyFont="1" applyFill="1" applyBorder="1" applyAlignment="1">
      <alignment horizontal="center" vertical="center"/>
    </xf>
    <xf numFmtId="0" fontId="30" fillId="5" borderId="17" xfId="1" applyFont="1" applyFill="1" applyBorder="1" applyAlignment="1">
      <alignment horizontal="center" vertical="center"/>
    </xf>
    <xf numFmtId="0" fontId="30" fillId="5" borderId="15" xfId="1" applyFont="1" applyFill="1" applyBorder="1" applyAlignment="1">
      <alignment horizontal="center" vertical="center"/>
    </xf>
    <xf numFmtId="0" fontId="30" fillId="5" borderId="16" xfId="1" applyFont="1" applyFill="1" applyBorder="1" applyAlignment="1">
      <alignment horizontal="center" vertical="center"/>
    </xf>
    <xf numFmtId="0" fontId="30" fillId="5" borderId="19" xfId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5" fillId="5" borderId="29" xfId="0" applyFont="1" applyFill="1" applyBorder="1" applyAlignment="1">
      <alignment horizontal="center" vertical="center"/>
    </xf>
    <xf numFmtId="0" fontId="25" fillId="5" borderId="30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33" fillId="0" borderId="24" xfId="1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2" xfId="4" xr:uid="{0355F4F1-A6BD-44E9-A7EC-C4259078B51A}"/>
    <cellStyle name="Normal 3 3" xfId="3" xr:uid="{00000000-0005-0000-0000-000002000000}"/>
    <cellStyle name="Normal 4 2" xfId="2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87732</xdr:colOff>
      <xdr:row>2</xdr:row>
      <xdr:rowOff>13527</xdr:rowOff>
    </xdr:from>
    <xdr:ext cx="1077827" cy="40848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2" y="389514"/>
          <a:ext cx="1077827" cy="40848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6489" cy="59747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6489" cy="59747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R51"/>
  <sheetViews>
    <sheetView tabSelected="1" topLeftCell="B1" zoomScale="19" zoomScaleNormal="19" zoomScaleSheetLayoutView="80" workbookViewId="0">
      <selection activeCell="N14" sqref="N14"/>
    </sheetView>
  </sheetViews>
  <sheetFormatPr defaultColWidth="5.75" defaultRowHeight="15" customHeight="1"/>
  <cols>
    <col min="1" max="1" width="2.625" style="61" hidden="1" customWidth="1"/>
    <col min="2" max="2" width="8.375" style="61" customWidth="1"/>
    <col min="3" max="3" width="29" style="61" customWidth="1"/>
    <col min="4" max="4" width="183.375" style="68" customWidth="1"/>
    <col min="5" max="5" width="39.375" style="68" customWidth="1"/>
    <col min="6" max="6" width="53.75" style="62" customWidth="1"/>
    <col min="7" max="13" width="50.75" style="62" customWidth="1"/>
    <col min="14" max="14" width="51.25" style="62" customWidth="1"/>
    <col min="15" max="15" width="52.25" style="62" customWidth="1"/>
    <col min="16" max="16" width="50.75" style="61" customWidth="1"/>
    <col min="17" max="17" width="61" style="61" customWidth="1"/>
    <col min="18" max="18" width="54" style="61" customWidth="1"/>
    <col min="19" max="16384" width="5.75" style="61"/>
  </cols>
  <sheetData>
    <row r="1" spans="2:18" ht="64.5" customHeight="1"/>
    <row r="2" spans="2:18" ht="64.5" customHeight="1" thickBot="1">
      <c r="C2" s="202" t="s">
        <v>154</v>
      </c>
      <c r="D2" s="202"/>
      <c r="E2" s="202"/>
      <c r="H2" s="63"/>
      <c r="I2" s="63"/>
      <c r="J2" s="63"/>
      <c r="K2" s="63"/>
      <c r="L2" s="63"/>
    </row>
    <row r="3" spans="2:18" ht="39.6" customHeight="1" thickBot="1">
      <c r="C3" s="203"/>
      <c r="D3" s="203"/>
      <c r="E3" s="203"/>
      <c r="F3" s="178" t="s">
        <v>150</v>
      </c>
      <c r="G3" s="179"/>
      <c r="H3" s="179"/>
      <c r="I3" s="179"/>
      <c r="J3" s="179"/>
      <c r="K3" s="179"/>
      <c r="L3" s="179"/>
      <c r="M3" s="179"/>
      <c r="N3" s="179"/>
      <c r="O3" s="180"/>
      <c r="P3" s="165" t="s">
        <v>69</v>
      </c>
      <c r="Q3" s="166"/>
      <c r="R3" s="158" t="s">
        <v>116</v>
      </c>
    </row>
    <row r="4" spans="2:18" s="65" customFormat="1" ht="47.25" customHeight="1">
      <c r="B4" s="61"/>
      <c r="C4" s="204" t="s">
        <v>121</v>
      </c>
      <c r="D4" s="207" t="s">
        <v>122</v>
      </c>
      <c r="E4" s="173" t="s">
        <v>39</v>
      </c>
      <c r="F4" s="181"/>
      <c r="G4" s="182"/>
      <c r="H4" s="182"/>
      <c r="I4" s="182"/>
      <c r="J4" s="182"/>
      <c r="K4" s="182"/>
      <c r="L4" s="182"/>
      <c r="M4" s="182"/>
      <c r="N4" s="182"/>
      <c r="O4" s="183"/>
      <c r="P4" s="167"/>
      <c r="Q4" s="168"/>
      <c r="R4" s="159"/>
    </row>
    <row r="5" spans="2:18" s="65" customFormat="1" ht="47.25" customHeight="1" thickBot="1">
      <c r="B5" s="61"/>
      <c r="C5" s="205"/>
      <c r="D5" s="208"/>
      <c r="E5" s="174"/>
      <c r="F5" s="184"/>
      <c r="G5" s="185"/>
      <c r="H5" s="185"/>
      <c r="I5" s="185"/>
      <c r="J5" s="185"/>
      <c r="K5" s="185"/>
      <c r="L5" s="185"/>
      <c r="M5" s="185"/>
      <c r="N5" s="185"/>
      <c r="O5" s="186"/>
      <c r="P5" s="169"/>
      <c r="Q5" s="170"/>
      <c r="R5" s="159"/>
    </row>
    <row r="6" spans="2:18" s="65" customFormat="1" ht="84.75" customHeight="1" thickBot="1">
      <c r="B6" s="61"/>
      <c r="C6" s="206"/>
      <c r="D6" s="209"/>
      <c r="E6" s="175"/>
      <c r="F6" s="71" t="s">
        <v>0</v>
      </c>
      <c r="G6" s="72" t="s">
        <v>70</v>
      </c>
      <c r="H6" s="73" t="s">
        <v>71</v>
      </c>
      <c r="I6" s="74" t="s">
        <v>72</v>
      </c>
      <c r="J6" s="72" t="s">
        <v>73</v>
      </c>
      <c r="K6" s="73" t="s">
        <v>74</v>
      </c>
      <c r="L6" s="72" t="s">
        <v>75</v>
      </c>
      <c r="M6" s="73" t="s">
        <v>76</v>
      </c>
      <c r="N6" s="72" t="s">
        <v>77</v>
      </c>
      <c r="O6" s="75" t="s">
        <v>78</v>
      </c>
      <c r="P6" s="69" t="s">
        <v>81</v>
      </c>
      <c r="Q6" s="70" t="s">
        <v>79</v>
      </c>
      <c r="R6" s="160"/>
    </row>
    <row r="7" spans="2:18" s="66" customFormat="1" ht="75" customHeight="1">
      <c r="B7" s="119"/>
      <c r="C7" s="176">
        <v>1</v>
      </c>
      <c r="D7" s="121" t="s">
        <v>119</v>
      </c>
      <c r="E7" s="171">
        <v>36</v>
      </c>
      <c r="F7" s="134">
        <v>43</v>
      </c>
      <c r="G7" s="135">
        <v>29</v>
      </c>
      <c r="H7" s="136">
        <v>24</v>
      </c>
      <c r="I7" s="135">
        <v>21</v>
      </c>
      <c r="J7" s="136">
        <v>22</v>
      </c>
      <c r="K7" s="135">
        <v>10</v>
      </c>
      <c r="L7" s="136">
        <v>12</v>
      </c>
      <c r="M7" s="135">
        <v>31</v>
      </c>
      <c r="N7" s="136"/>
      <c r="O7" s="135"/>
      <c r="P7" s="152">
        <f>SUM(F7:O7)</f>
        <v>192</v>
      </c>
      <c r="Q7" s="149">
        <f>'สุวรรณภูมิ-รถ'!C10</f>
        <v>9</v>
      </c>
      <c r="R7" s="147"/>
    </row>
    <row r="8" spans="2:18" s="66" customFormat="1" ht="75" customHeight="1" thickBot="1">
      <c r="B8" s="119"/>
      <c r="C8" s="177"/>
      <c r="D8" s="120" t="s">
        <v>130</v>
      </c>
      <c r="E8" s="172"/>
      <c r="F8" s="137" t="str">
        <f>IF(F7=0, "", IF(MOD(F7, $E$7) = 0, F7 / $E$7, IF(INT(F7 / $E$7) = 0, MOD(F7, $E$7) &amp; " P", INT(F7 / $E$7) &amp; " + " &amp; MOD(F7, $E$7) &amp; " P")))</f>
        <v>1 + 7 P</v>
      </c>
      <c r="G8" s="138" t="str">
        <f t="shared" ref="G8:O8" si="0">IF(G7=0, "", IF(MOD(G7, $E$7) = 0, G7 / $E$7, IF(INT(G7 / $E$7) = 0, MOD(G7, $E$7) &amp; " P", INT(G7 / $E$7) &amp; " + " &amp; MOD(G7, $E$7) &amp; " P")))</f>
        <v>29 P</v>
      </c>
      <c r="H8" s="138" t="str">
        <f t="shared" si="0"/>
        <v>24 P</v>
      </c>
      <c r="I8" s="138" t="str">
        <f t="shared" si="0"/>
        <v>21 P</v>
      </c>
      <c r="J8" s="138" t="str">
        <f t="shared" si="0"/>
        <v>22 P</v>
      </c>
      <c r="K8" s="138" t="str">
        <f t="shared" si="0"/>
        <v>10 P</v>
      </c>
      <c r="L8" s="138" t="str">
        <f t="shared" si="0"/>
        <v>12 P</v>
      </c>
      <c r="M8" s="138" t="str">
        <f t="shared" si="0"/>
        <v>31 P</v>
      </c>
      <c r="N8" s="138" t="str">
        <f t="shared" si="0"/>
        <v/>
      </c>
      <c r="O8" s="138" t="str">
        <f t="shared" si="0"/>
        <v/>
      </c>
      <c r="P8" s="153"/>
      <c r="Q8" s="150"/>
      <c r="R8" s="148"/>
    </row>
    <row r="9" spans="2:18" s="66" customFormat="1" ht="75" customHeight="1">
      <c r="B9" s="119"/>
      <c r="C9" s="176">
        <v>2</v>
      </c>
      <c r="D9" s="121" t="s">
        <v>61</v>
      </c>
      <c r="E9" s="171">
        <v>32</v>
      </c>
      <c r="F9" s="134">
        <v>127</v>
      </c>
      <c r="G9" s="135">
        <v>53</v>
      </c>
      <c r="H9" s="136">
        <v>52</v>
      </c>
      <c r="I9" s="135">
        <v>80</v>
      </c>
      <c r="J9" s="136">
        <v>49</v>
      </c>
      <c r="K9" s="135">
        <v>22</v>
      </c>
      <c r="L9" s="136">
        <v>65</v>
      </c>
      <c r="M9" s="135">
        <v>92</v>
      </c>
      <c r="N9" s="136"/>
      <c r="O9" s="135"/>
      <c r="P9" s="162">
        <f t="shared" ref="P9" si="1">SUM(F9:O9)</f>
        <v>540</v>
      </c>
      <c r="Q9" s="161">
        <f>'สุวรรณภูมิ-รถ'!C11</f>
        <v>20</v>
      </c>
      <c r="R9" s="151"/>
    </row>
    <row r="10" spans="2:18" s="66" customFormat="1" ht="75" customHeight="1" thickBot="1">
      <c r="B10" s="119"/>
      <c r="C10" s="177"/>
      <c r="D10" s="120" t="s">
        <v>127</v>
      </c>
      <c r="E10" s="172"/>
      <c r="F10" s="137" t="str">
        <f>IF(F9=0, "", IF(MOD(F9, $E$9) = 0, F9 / $E$9, IF(INT(F9 / $E$9) = 0, MOD(F9, $E$9) &amp; " P", INT(F9 / $E$9) &amp; " + " &amp; MOD(F9, $E$9) &amp; " P")))</f>
        <v>3 + 31 P</v>
      </c>
      <c r="G10" s="137" t="str">
        <f t="shared" ref="G10:O10" si="2">IF(G9=0, "", IF(MOD(G9, $E$9) = 0, G9 / $E$9, IF(INT(G9 / $E$9) = 0, MOD(G9, $E$9) &amp; " P", INT(G9 / $E$9) &amp; " + " &amp; MOD(G9, $E$9) &amp; " P")))</f>
        <v>1 + 21 P</v>
      </c>
      <c r="H10" s="137" t="str">
        <f t="shared" si="2"/>
        <v>1 + 20 P</v>
      </c>
      <c r="I10" s="137" t="str">
        <f t="shared" si="2"/>
        <v>2 + 16 P</v>
      </c>
      <c r="J10" s="137" t="str">
        <f t="shared" si="2"/>
        <v>1 + 17 P</v>
      </c>
      <c r="K10" s="137" t="str">
        <f t="shared" si="2"/>
        <v>22 P</v>
      </c>
      <c r="L10" s="137" t="str">
        <f t="shared" si="2"/>
        <v>2 + 1 P</v>
      </c>
      <c r="M10" s="137" t="str">
        <f t="shared" si="2"/>
        <v>2 + 28 P</v>
      </c>
      <c r="N10" s="137" t="str">
        <f t="shared" si="2"/>
        <v/>
      </c>
      <c r="O10" s="138" t="str">
        <f t="shared" si="2"/>
        <v/>
      </c>
      <c r="P10" s="153"/>
      <c r="Q10" s="150"/>
      <c r="R10" s="148"/>
    </row>
    <row r="11" spans="2:18" s="66" customFormat="1" ht="75" customHeight="1">
      <c r="B11" s="119"/>
      <c r="C11" s="176">
        <v>3</v>
      </c>
      <c r="D11" s="121" t="s">
        <v>134</v>
      </c>
      <c r="E11" s="187">
        <v>36</v>
      </c>
      <c r="F11" s="134">
        <v>63</v>
      </c>
      <c r="G11" s="135">
        <v>16</v>
      </c>
      <c r="H11" s="136">
        <v>13</v>
      </c>
      <c r="I11" s="135">
        <v>30</v>
      </c>
      <c r="J11" s="136">
        <v>12</v>
      </c>
      <c r="K11" s="135">
        <v>7</v>
      </c>
      <c r="L11" s="136">
        <v>24</v>
      </c>
      <c r="M11" s="135">
        <v>25</v>
      </c>
      <c r="N11" s="136"/>
      <c r="O11" s="135"/>
      <c r="P11" s="152">
        <f t="shared" ref="P11" si="3">SUM(F11:O11)</f>
        <v>190</v>
      </c>
      <c r="Q11" s="149">
        <f>'สุวรรณภูมิ-รถ'!C12</f>
        <v>9</v>
      </c>
      <c r="R11" s="147"/>
    </row>
    <row r="12" spans="2:18" s="66" customFormat="1" ht="75" customHeight="1" thickBot="1">
      <c r="B12" s="119"/>
      <c r="C12" s="177"/>
      <c r="D12" s="120" t="s">
        <v>135</v>
      </c>
      <c r="E12" s="164"/>
      <c r="F12" s="137" t="str">
        <f>IF(F11=0, "", IF(MOD(F11, $E$11) = 0, F11/ $E$11, IF(INT(F11 / $E$11) = 0, MOD(F11, $E$11) &amp; " P", INT(F11 / $E$11) &amp; " + " &amp; MOD(F11, $E$11) &amp; " P")))</f>
        <v>1 + 27 P</v>
      </c>
      <c r="G12" s="138" t="str">
        <f t="shared" ref="G12:O12" si="4">IF(G11=0, "", IF(MOD(G11, $E$11) = 0, G11/ $E$11, IF(INT(G11 / $E$11) = 0, MOD(G11, $E$11) &amp; " P", INT(G11 / $E$11) &amp; " + " &amp; MOD(G11, $E$11) &amp; " P")))</f>
        <v>16 P</v>
      </c>
      <c r="H12" s="138" t="str">
        <f t="shared" si="4"/>
        <v>13 P</v>
      </c>
      <c r="I12" s="138" t="str">
        <f t="shared" si="4"/>
        <v>30 P</v>
      </c>
      <c r="J12" s="138" t="str">
        <f t="shared" si="4"/>
        <v>12 P</v>
      </c>
      <c r="K12" s="138" t="str">
        <f t="shared" si="4"/>
        <v>7 P</v>
      </c>
      <c r="L12" s="138" t="str">
        <f t="shared" si="4"/>
        <v>24 P</v>
      </c>
      <c r="M12" s="138" t="str">
        <f t="shared" si="4"/>
        <v>25 P</v>
      </c>
      <c r="N12" s="138" t="str">
        <f t="shared" si="4"/>
        <v/>
      </c>
      <c r="O12" s="138" t="str">
        <f t="shared" si="4"/>
        <v/>
      </c>
      <c r="P12" s="153"/>
      <c r="Q12" s="150"/>
      <c r="R12" s="148"/>
    </row>
    <row r="13" spans="2:18" s="66" customFormat="1" ht="75" customHeight="1">
      <c r="B13" s="119"/>
      <c r="C13" s="125">
        <v>4</v>
      </c>
      <c r="D13" s="139" t="s">
        <v>145</v>
      </c>
      <c r="E13" s="176">
        <v>14</v>
      </c>
      <c r="F13" s="134">
        <v>49</v>
      </c>
      <c r="G13" s="135">
        <v>22</v>
      </c>
      <c r="H13" s="136">
        <v>32</v>
      </c>
      <c r="I13" s="135">
        <v>35</v>
      </c>
      <c r="J13" s="136">
        <v>22</v>
      </c>
      <c r="K13" s="135">
        <v>14</v>
      </c>
      <c r="L13" s="136">
        <v>20</v>
      </c>
      <c r="M13" s="135">
        <v>37</v>
      </c>
      <c r="N13" s="136"/>
      <c r="O13" s="135"/>
      <c r="P13" s="152">
        <f t="shared" ref="P13" si="5">SUM(F13:O13)</f>
        <v>231</v>
      </c>
      <c r="Q13" s="149">
        <f>'สุวรรณภูมิ-รถ'!C13</f>
        <v>20</v>
      </c>
      <c r="R13" s="147"/>
    </row>
    <row r="14" spans="2:18" s="66" customFormat="1" ht="75" customHeight="1" thickBot="1">
      <c r="B14" s="119"/>
      <c r="C14" s="126"/>
      <c r="D14" s="120" t="s">
        <v>146</v>
      </c>
      <c r="E14" s="177"/>
      <c r="F14" s="137" t="str">
        <f>IF(F13=0, "", IF(MOD(F13, $E$13) = 0, F13/ $E$13, IF(INT(F13 / $E$13) = 0, MOD(F13, $E$13) &amp; " P", INT(F13 / $E$13) &amp; " + " &amp; MOD(F13, $E$13) &amp; " P")))</f>
        <v>3 + 7 P</v>
      </c>
      <c r="G14" s="137" t="str">
        <f t="shared" ref="G14:M14" si="6">IF(G13=0, "", IF(MOD(G13, $E$13) = 0, G13/ $E$13, IF(INT(G13 / $E$13) = 0, MOD(G13, $E$13) &amp; " P", INT(G13 / $E$13) &amp; " + " &amp; MOD(G13, $E$13) &amp; " P")))</f>
        <v>1 + 8 P</v>
      </c>
      <c r="H14" s="137" t="str">
        <f t="shared" si="6"/>
        <v>2 + 4 P</v>
      </c>
      <c r="I14" s="137" t="str">
        <f t="shared" si="6"/>
        <v>2 + 7 P</v>
      </c>
      <c r="J14" s="137" t="str">
        <f t="shared" si="6"/>
        <v>1 + 8 P</v>
      </c>
      <c r="K14" s="137">
        <f t="shared" si="6"/>
        <v>1</v>
      </c>
      <c r="L14" s="137" t="str">
        <f t="shared" si="6"/>
        <v>1 + 6 P</v>
      </c>
      <c r="M14" s="137" t="str">
        <f t="shared" si="6"/>
        <v>2 + 9 P</v>
      </c>
      <c r="N14" s="137"/>
      <c r="O14" s="138"/>
      <c r="P14" s="153"/>
      <c r="Q14" s="150"/>
      <c r="R14" s="148"/>
    </row>
    <row r="15" spans="2:18" s="66" customFormat="1" ht="75" customHeight="1">
      <c r="B15" s="119"/>
      <c r="C15" s="125">
        <v>5</v>
      </c>
      <c r="D15" s="139" t="s">
        <v>147</v>
      </c>
      <c r="E15" s="176">
        <v>14</v>
      </c>
      <c r="F15" s="134">
        <v>36</v>
      </c>
      <c r="G15" s="135">
        <v>22</v>
      </c>
      <c r="H15" s="136">
        <v>12</v>
      </c>
      <c r="I15" s="135">
        <v>28</v>
      </c>
      <c r="J15" s="136">
        <v>18</v>
      </c>
      <c r="K15" s="135">
        <v>9</v>
      </c>
      <c r="L15" s="136">
        <v>16</v>
      </c>
      <c r="M15" s="135">
        <v>29</v>
      </c>
      <c r="N15" s="136"/>
      <c r="O15" s="135"/>
      <c r="P15" s="152">
        <f t="shared" ref="P15" si="7">SUM(F15:O15)</f>
        <v>170</v>
      </c>
      <c r="Q15" s="149">
        <f>'สุวรรณภูมิ-รถ'!C14</f>
        <v>16</v>
      </c>
      <c r="R15" s="147"/>
    </row>
    <row r="16" spans="2:18" s="66" customFormat="1" ht="75" customHeight="1" thickBot="1">
      <c r="B16" s="119"/>
      <c r="C16" s="126"/>
      <c r="D16" s="120" t="s">
        <v>148</v>
      </c>
      <c r="E16" s="177"/>
      <c r="F16" s="137" t="str">
        <f>IF(F15=0, "", IF(MOD(F15, $E$15) = 0, F15/ $E$15, IF(INT(F15 / $E$15) = 0, MOD(F15, $E$15) &amp; " P", INT(F15 / $E$15) &amp; " + " &amp; MOD(F15, $E$15) &amp; " P")))</f>
        <v>2 + 8 P</v>
      </c>
      <c r="G16" s="137" t="str">
        <f t="shared" ref="G16:O16" si="8">IF(G15=0, "", IF(MOD(G15, $E$15) = 0, G15/ $E$15, IF(INT(G15 / $E$15) = 0, MOD(G15, $E$15) &amp; " P", INT(G15 / $E$15) &amp; " + " &amp; MOD(G15, $E$15) &amp; " P")))</f>
        <v>1 + 8 P</v>
      </c>
      <c r="H16" s="137" t="str">
        <f t="shared" si="8"/>
        <v>12 P</v>
      </c>
      <c r="I16" s="137">
        <f t="shared" si="8"/>
        <v>2</v>
      </c>
      <c r="J16" s="137" t="str">
        <f t="shared" si="8"/>
        <v>1 + 4 P</v>
      </c>
      <c r="K16" s="137" t="str">
        <f t="shared" si="8"/>
        <v>9 P</v>
      </c>
      <c r="L16" s="137" t="str">
        <f t="shared" si="8"/>
        <v>1 + 2 P</v>
      </c>
      <c r="M16" s="137" t="str">
        <f t="shared" si="8"/>
        <v>2 + 1 P</v>
      </c>
      <c r="N16" s="137" t="str">
        <f t="shared" si="8"/>
        <v/>
      </c>
      <c r="O16" s="138" t="str">
        <f t="shared" si="8"/>
        <v/>
      </c>
      <c r="P16" s="153"/>
      <c r="Q16" s="150"/>
      <c r="R16" s="148"/>
    </row>
    <row r="17" spans="2:18" s="66" customFormat="1" ht="75" customHeight="1">
      <c r="B17" s="119"/>
      <c r="C17" s="125">
        <v>6</v>
      </c>
      <c r="D17" s="121" t="s">
        <v>62</v>
      </c>
      <c r="E17" s="163">
        <v>32</v>
      </c>
      <c r="F17" s="134">
        <v>60</v>
      </c>
      <c r="G17" s="135">
        <v>34</v>
      </c>
      <c r="H17" s="136">
        <v>22</v>
      </c>
      <c r="I17" s="135">
        <v>38</v>
      </c>
      <c r="J17" s="136">
        <v>24</v>
      </c>
      <c r="K17" s="135">
        <v>9</v>
      </c>
      <c r="L17" s="136">
        <v>20</v>
      </c>
      <c r="M17" s="135">
        <v>43</v>
      </c>
      <c r="N17" s="136"/>
      <c r="O17" s="135"/>
      <c r="P17" s="152">
        <f>SUM(F17:O17)</f>
        <v>250</v>
      </c>
      <c r="Q17" s="149">
        <f>'สุวรรณภูมิ-รถ'!C15</f>
        <v>12</v>
      </c>
      <c r="R17" s="147"/>
    </row>
    <row r="18" spans="2:18" s="66" customFormat="1" ht="75" customHeight="1" thickBot="1">
      <c r="B18" s="119"/>
      <c r="C18" s="126"/>
      <c r="D18" s="120" t="s">
        <v>128</v>
      </c>
      <c r="E18" s="164"/>
      <c r="F18" s="137" t="str">
        <f>IF(F17=0, "", IF(MOD(F17, $E$17) = 0, F17/ $E$17, IF(INT(F17 / $E$17) = 0, MOD(F17, $E$17) &amp; " P", INT(F17 / $E$17) &amp; " + " &amp; MOD(F17, $E$17) &amp; " P")))</f>
        <v>1 + 28 P</v>
      </c>
      <c r="G18" s="137" t="str">
        <f t="shared" ref="G18:O18" si="9">IF(G17=0, "", IF(MOD(G17, $E$17) = 0, G17/ $E$17, IF(INT(G17 / $E$17) = 0, MOD(G17, $E$17) &amp; " P", INT(G17 / $E$17) &amp; " + " &amp; MOD(G17, $E$17) &amp; " P")))</f>
        <v>1 + 2 P</v>
      </c>
      <c r="H18" s="137" t="str">
        <f t="shared" si="9"/>
        <v>22 P</v>
      </c>
      <c r="I18" s="137" t="str">
        <f t="shared" si="9"/>
        <v>1 + 6 P</v>
      </c>
      <c r="J18" s="137" t="str">
        <f t="shared" si="9"/>
        <v>24 P</v>
      </c>
      <c r="K18" s="137" t="str">
        <f t="shared" si="9"/>
        <v>9 P</v>
      </c>
      <c r="L18" s="137" t="str">
        <f t="shared" si="9"/>
        <v>20 P</v>
      </c>
      <c r="M18" s="137" t="str">
        <f t="shared" si="9"/>
        <v>1 + 11 P</v>
      </c>
      <c r="N18" s="137" t="str">
        <f t="shared" si="9"/>
        <v/>
      </c>
      <c r="O18" s="138" t="str">
        <f t="shared" si="9"/>
        <v/>
      </c>
      <c r="P18" s="153"/>
      <c r="Q18" s="150"/>
      <c r="R18" s="148"/>
    </row>
    <row r="19" spans="2:18" s="66" customFormat="1" ht="75" customHeight="1">
      <c r="B19" s="119"/>
      <c r="C19" s="125">
        <v>7</v>
      </c>
      <c r="D19" s="121" t="s">
        <v>143</v>
      </c>
      <c r="E19" s="163">
        <v>27</v>
      </c>
      <c r="F19" s="134">
        <v>92</v>
      </c>
      <c r="G19" s="135">
        <v>34</v>
      </c>
      <c r="H19" s="136">
        <v>35</v>
      </c>
      <c r="I19" s="135">
        <v>34</v>
      </c>
      <c r="J19" s="136">
        <v>34</v>
      </c>
      <c r="K19" s="135">
        <v>30</v>
      </c>
      <c r="L19" s="136">
        <v>32</v>
      </c>
      <c r="M19" s="135">
        <v>27</v>
      </c>
      <c r="N19" s="136"/>
      <c r="O19" s="135"/>
      <c r="P19" s="152">
        <f>SUM(F19:O19)</f>
        <v>318</v>
      </c>
      <c r="Q19" s="149">
        <f>'สุวรรณภูมิ-รถ'!C16</f>
        <v>17</v>
      </c>
      <c r="R19" s="147"/>
    </row>
    <row r="20" spans="2:18" s="66" customFormat="1" ht="75" customHeight="1" thickBot="1">
      <c r="B20" s="119"/>
      <c r="C20" s="126"/>
      <c r="D20" s="120" t="s">
        <v>144</v>
      </c>
      <c r="E20" s="164"/>
      <c r="F20" s="137" t="str">
        <f>IF(F19=0, "", IF(MOD(F19, $E$19) = 0, F19/ $E$19, IF(INT(F19 / $E$19) = 0, MOD(F19, $E$19) &amp; " P", INT(F19 / $E$19) &amp; " + " &amp; MOD(F19, $E$19) &amp; " P")))</f>
        <v>3 + 11 P</v>
      </c>
      <c r="G20" s="137" t="str">
        <f t="shared" ref="G20:O20" si="10">IF(G19=0, "", IF(MOD(G19, $E$19) = 0, G19/ $E$19, IF(INT(G19 / $E$19) = 0, MOD(G19, $E$19) &amp; " P", INT(G19 / $E$19) &amp; " + " &amp; MOD(G19, $E$19) &amp; " P")))</f>
        <v>1 + 7 P</v>
      </c>
      <c r="H20" s="137" t="str">
        <f t="shared" si="10"/>
        <v>1 + 8 P</v>
      </c>
      <c r="I20" s="137" t="str">
        <f t="shared" si="10"/>
        <v>1 + 7 P</v>
      </c>
      <c r="J20" s="137" t="str">
        <f t="shared" si="10"/>
        <v>1 + 7 P</v>
      </c>
      <c r="K20" s="137" t="str">
        <f t="shared" si="10"/>
        <v>1 + 3 P</v>
      </c>
      <c r="L20" s="137" t="str">
        <f t="shared" si="10"/>
        <v>1 + 5 P</v>
      </c>
      <c r="M20" s="137">
        <f t="shared" si="10"/>
        <v>1</v>
      </c>
      <c r="N20" s="137" t="str">
        <f t="shared" si="10"/>
        <v/>
      </c>
      <c r="O20" s="138" t="str">
        <f t="shared" si="10"/>
        <v/>
      </c>
      <c r="P20" s="153"/>
      <c r="Q20" s="150"/>
      <c r="R20" s="148"/>
    </row>
    <row r="21" spans="2:18" s="66" customFormat="1" ht="75" customHeight="1">
      <c r="B21" s="119"/>
      <c r="C21" s="125">
        <v>8</v>
      </c>
      <c r="D21" s="122" t="s">
        <v>149</v>
      </c>
      <c r="E21" s="163">
        <v>27</v>
      </c>
      <c r="F21" s="134">
        <v>30</v>
      </c>
      <c r="G21" s="135">
        <v>14</v>
      </c>
      <c r="H21" s="136">
        <v>22</v>
      </c>
      <c r="I21" s="135">
        <v>38</v>
      </c>
      <c r="J21" s="136">
        <v>23</v>
      </c>
      <c r="K21" s="135">
        <v>13</v>
      </c>
      <c r="L21" s="136">
        <v>20</v>
      </c>
      <c r="M21" s="135">
        <v>19</v>
      </c>
      <c r="N21" s="136"/>
      <c r="O21" s="135"/>
      <c r="P21" s="152">
        <f t="shared" ref="P21" si="11">SUM(F21:O21)</f>
        <v>179</v>
      </c>
      <c r="Q21" s="149">
        <f>'สุวรรณภูมิ-รถ'!C17</f>
        <v>10</v>
      </c>
      <c r="R21" s="147"/>
    </row>
    <row r="22" spans="2:18" s="66" customFormat="1" ht="75" customHeight="1" thickBot="1">
      <c r="B22" s="119"/>
      <c r="C22" s="126"/>
      <c r="D22" s="120" t="s">
        <v>131</v>
      </c>
      <c r="E22" s="164"/>
      <c r="F22" s="137" t="str">
        <f>IF(F21=0, "", IF(MOD(F21, $E$21) = 0, F21/ $E$21, IF(INT(F21 / $E$21) = 0, MOD(F21, $E$21) &amp; " P", INT(F21 / $E$21) &amp; " + " &amp; MOD(F21, $E$21) &amp; " P")))</f>
        <v>1 + 3 P</v>
      </c>
      <c r="G22" s="137" t="str">
        <f t="shared" ref="G22:O22" si="12">IF(G21=0, "", IF(MOD(G21, $E$21) = 0, G21/ $E$21, IF(INT(G21 / $E$21) = 0, MOD(G21, $E$21) &amp; " P", INT(G21 / $E$21) &amp; " + " &amp; MOD(G21, $E$21) &amp; " P")))</f>
        <v>14 P</v>
      </c>
      <c r="H22" s="137" t="str">
        <f t="shared" si="12"/>
        <v>22 P</v>
      </c>
      <c r="I22" s="137" t="str">
        <f t="shared" si="12"/>
        <v>1 + 11 P</v>
      </c>
      <c r="J22" s="137" t="str">
        <f t="shared" si="12"/>
        <v>23 P</v>
      </c>
      <c r="K22" s="137" t="str">
        <f t="shared" si="12"/>
        <v>13 P</v>
      </c>
      <c r="L22" s="137" t="str">
        <f t="shared" si="12"/>
        <v>20 P</v>
      </c>
      <c r="M22" s="137" t="str">
        <f t="shared" si="12"/>
        <v>19 P</v>
      </c>
      <c r="N22" s="137" t="str">
        <f t="shared" si="12"/>
        <v/>
      </c>
      <c r="O22" s="138" t="str">
        <f t="shared" si="12"/>
        <v/>
      </c>
      <c r="P22" s="153"/>
      <c r="Q22" s="150"/>
      <c r="R22" s="148"/>
    </row>
    <row r="23" spans="2:18" s="66" customFormat="1" ht="75" customHeight="1">
      <c r="B23" s="119"/>
      <c r="C23" s="125">
        <v>9</v>
      </c>
      <c r="D23" s="123" t="s">
        <v>63</v>
      </c>
      <c r="E23" s="163">
        <v>36</v>
      </c>
      <c r="F23" s="134">
        <v>99</v>
      </c>
      <c r="G23" s="135">
        <v>21</v>
      </c>
      <c r="H23" s="136">
        <v>20</v>
      </c>
      <c r="I23" s="135">
        <v>53</v>
      </c>
      <c r="J23" s="136">
        <v>27</v>
      </c>
      <c r="K23" s="135">
        <v>27</v>
      </c>
      <c r="L23" s="136">
        <v>43</v>
      </c>
      <c r="M23" s="135">
        <v>82</v>
      </c>
      <c r="N23" s="136"/>
      <c r="O23" s="135"/>
      <c r="P23" s="152">
        <f t="shared" ref="P23" si="13">SUM(F23:O23)</f>
        <v>372</v>
      </c>
      <c r="Q23" s="149">
        <f>'สุวรรณภูมิ-รถ'!C18</f>
        <v>14</v>
      </c>
      <c r="R23" s="147"/>
    </row>
    <row r="24" spans="2:18" s="66" customFormat="1" ht="75" customHeight="1" thickBot="1">
      <c r="B24" s="119"/>
      <c r="C24" s="126"/>
      <c r="D24" s="120" t="s">
        <v>129</v>
      </c>
      <c r="E24" s="164"/>
      <c r="F24" s="137" t="str">
        <f>IF(F23=0, "", IF(MOD(F23, $E$23) = 0, F23/ $E$23, IF(INT(F23 / $E$23) = 0, MOD(F23, $E$23) &amp; " P", INT(F23 / $E$23) &amp; " + " &amp; MOD(F23, $E$23) &amp; " P")))</f>
        <v>2 + 27 P</v>
      </c>
      <c r="G24" s="138" t="str">
        <f t="shared" ref="G24:O24" si="14">IF(G23=0, "", IF(MOD(G23, $E$23) = 0, G23/ $E$23, IF(INT(G23 / $E$23) = 0, MOD(G23, $E$23) &amp; " P", INT(G23 / $E$23) &amp; " + " &amp; MOD(G23, $E$23) &amp; " P")))</f>
        <v>21 P</v>
      </c>
      <c r="H24" s="138" t="str">
        <f t="shared" si="14"/>
        <v>20 P</v>
      </c>
      <c r="I24" s="138" t="str">
        <f t="shared" si="14"/>
        <v>1 + 17 P</v>
      </c>
      <c r="J24" s="138" t="str">
        <f t="shared" si="14"/>
        <v>27 P</v>
      </c>
      <c r="K24" s="138" t="str">
        <f t="shared" si="14"/>
        <v>27 P</v>
      </c>
      <c r="L24" s="138" t="str">
        <f t="shared" si="14"/>
        <v>1 + 7 P</v>
      </c>
      <c r="M24" s="138" t="str">
        <f t="shared" si="14"/>
        <v>2 + 10 P</v>
      </c>
      <c r="N24" s="138" t="str">
        <f t="shared" si="14"/>
        <v/>
      </c>
      <c r="O24" s="138" t="str">
        <f t="shared" si="14"/>
        <v/>
      </c>
      <c r="P24" s="153"/>
      <c r="Q24" s="150"/>
      <c r="R24" s="148"/>
    </row>
    <row r="25" spans="2:18" s="66" customFormat="1" ht="75" customHeight="1">
      <c r="B25" s="119"/>
      <c r="C25" s="125">
        <v>10</v>
      </c>
      <c r="D25" s="121" t="s">
        <v>118</v>
      </c>
      <c r="E25" s="163">
        <v>20</v>
      </c>
      <c r="F25" s="134">
        <v>43</v>
      </c>
      <c r="G25" s="135">
        <v>14</v>
      </c>
      <c r="H25" s="136">
        <v>15</v>
      </c>
      <c r="I25" s="135">
        <v>22</v>
      </c>
      <c r="J25" s="136">
        <v>12</v>
      </c>
      <c r="K25" s="135">
        <v>13</v>
      </c>
      <c r="L25" s="136">
        <v>7</v>
      </c>
      <c r="M25" s="135">
        <v>34</v>
      </c>
      <c r="N25" s="136"/>
      <c r="O25" s="135"/>
      <c r="P25" s="152">
        <f>SUM(F25:O25)</f>
        <v>160</v>
      </c>
      <c r="Q25" s="149">
        <f>'สุวรรณภูมิ-รถ'!C19</f>
        <v>12</v>
      </c>
      <c r="R25" s="147"/>
    </row>
    <row r="26" spans="2:18" s="66" customFormat="1" ht="75" customHeight="1" thickBot="1">
      <c r="B26" s="119"/>
      <c r="C26" s="126"/>
      <c r="D26" s="120" t="s">
        <v>138</v>
      </c>
      <c r="E26" s="164"/>
      <c r="F26" s="137" t="str">
        <f>IF(F25=0, "", IF(MOD(F25, $E$25) = 0, F25/ $E$25, IF(INT(F25 / $E$25) = 0, MOD(F25, $E$25) &amp; " P", INT(F25 / $E$25) &amp; " + " &amp; MOD(F25, $E$25) &amp; " P")))</f>
        <v>2 + 3 P</v>
      </c>
      <c r="G26" s="137" t="str">
        <f t="shared" ref="G26:O26" si="15">IF(G25=0, "", IF(MOD(G25, $E$25) = 0, G25/ $E$25, IF(INT(G25 / $E$25) = 0, MOD(G25, $E$25) &amp; " P", INT(G25 / $E$25) &amp; " + " &amp; MOD(G25, $E$25) &amp; " P")))</f>
        <v>14 P</v>
      </c>
      <c r="H26" s="137" t="str">
        <f t="shared" si="15"/>
        <v>15 P</v>
      </c>
      <c r="I26" s="137" t="str">
        <f t="shared" si="15"/>
        <v>1 + 2 P</v>
      </c>
      <c r="J26" s="137" t="str">
        <f t="shared" si="15"/>
        <v>12 P</v>
      </c>
      <c r="K26" s="137" t="str">
        <f t="shared" si="15"/>
        <v>13 P</v>
      </c>
      <c r="L26" s="137" t="str">
        <f t="shared" si="15"/>
        <v>7 P</v>
      </c>
      <c r="M26" s="137" t="str">
        <f t="shared" si="15"/>
        <v>1 + 14 P</v>
      </c>
      <c r="N26" s="137" t="str">
        <f t="shared" si="15"/>
        <v/>
      </c>
      <c r="O26" s="138" t="str">
        <f t="shared" si="15"/>
        <v/>
      </c>
      <c r="P26" s="153"/>
      <c r="Q26" s="150"/>
      <c r="R26" s="148"/>
    </row>
    <row r="27" spans="2:18" s="66" customFormat="1" ht="75" customHeight="1">
      <c r="B27" s="119"/>
      <c r="C27" s="125">
        <v>11</v>
      </c>
      <c r="D27" s="121" t="s">
        <v>136</v>
      </c>
      <c r="E27" s="154">
        <v>15</v>
      </c>
      <c r="F27" s="134">
        <v>36</v>
      </c>
      <c r="G27" s="135">
        <v>6</v>
      </c>
      <c r="H27" s="136">
        <v>7</v>
      </c>
      <c r="I27" s="134">
        <v>4</v>
      </c>
      <c r="J27" s="135">
        <v>2</v>
      </c>
      <c r="K27" s="136">
        <v>2</v>
      </c>
      <c r="L27" s="135">
        <v>12</v>
      </c>
      <c r="M27" s="136">
        <v>5</v>
      </c>
      <c r="N27" s="135"/>
      <c r="O27" s="140"/>
      <c r="P27" s="152">
        <f>SUM(F27:O27)</f>
        <v>74</v>
      </c>
      <c r="Q27" s="149">
        <f>'สุวรรณภูมิ-รถ'!C20</f>
        <v>10</v>
      </c>
      <c r="R27" s="147"/>
    </row>
    <row r="28" spans="2:18" s="66" customFormat="1" ht="75" customHeight="1" thickBot="1">
      <c r="B28" s="119"/>
      <c r="C28" s="126"/>
      <c r="D28" s="120" t="s">
        <v>137</v>
      </c>
      <c r="E28" s="155"/>
      <c r="F28" s="137" t="str">
        <f>IF(F27=0, "", IF(MOD(F27, $E$27) = 0, F27/ $E$27, IF(INT(F27 / $E$27) = 0, MOD(F27, $E$27) &amp; " P", INT(F27 / $E$27) &amp; " + " &amp; MOD(F27, $E$27) &amp; " P")))</f>
        <v>2 + 6 P</v>
      </c>
      <c r="G28" s="137" t="str">
        <f t="shared" ref="G28:O28" si="16">IF(G27=0, "", IF(MOD(G27, $E$27) = 0, G27/ $E$27, IF(INT(G27 / $E$27) = 0, MOD(G27, $E$27) &amp; " P", INT(G27 / $E$27) &amp; " + " &amp; MOD(G27, $E$27) &amp; " P")))</f>
        <v>6 P</v>
      </c>
      <c r="H28" s="137" t="str">
        <f t="shared" si="16"/>
        <v>7 P</v>
      </c>
      <c r="I28" s="137" t="str">
        <f t="shared" si="16"/>
        <v>4 P</v>
      </c>
      <c r="J28" s="137" t="str">
        <f t="shared" si="16"/>
        <v>2 P</v>
      </c>
      <c r="K28" s="137" t="str">
        <f t="shared" si="16"/>
        <v>2 P</v>
      </c>
      <c r="L28" s="137" t="str">
        <f t="shared" si="16"/>
        <v>12 P</v>
      </c>
      <c r="M28" s="137" t="str">
        <f t="shared" si="16"/>
        <v>5 P</v>
      </c>
      <c r="N28" s="137" t="str">
        <f t="shared" si="16"/>
        <v/>
      </c>
      <c r="O28" s="138" t="str">
        <f t="shared" si="16"/>
        <v/>
      </c>
      <c r="P28" s="153"/>
      <c r="Q28" s="150"/>
      <c r="R28" s="148"/>
    </row>
    <row r="29" spans="2:18" s="66" customFormat="1" ht="75" customHeight="1">
      <c r="B29" s="119"/>
      <c r="C29" s="125">
        <v>12</v>
      </c>
      <c r="D29" s="123" t="s">
        <v>65</v>
      </c>
      <c r="E29" s="163">
        <v>45</v>
      </c>
      <c r="F29" s="134">
        <v>8</v>
      </c>
      <c r="G29" s="135">
        <v>1</v>
      </c>
      <c r="H29" s="136">
        <v>3</v>
      </c>
      <c r="I29" s="135">
        <v>0</v>
      </c>
      <c r="J29" s="136">
        <v>2</v>
      </c>
      <c r="K29" s="135">
        <v>1</v>
      </c>
      <c r="L29" s="136">
        <v>4</v>
      </c>
      <c r="M29" s="135">
        <v>5</v>
      </c>
      <c r="N29" s="136"/>
      <c r="O29" s="135"/>
      <c r="P29" s="152">
        <f>SUM(F29:O29)</f>
        <v>24</v>
      </c>
      <c r="Q29" s="149">
        <f>'สุวรรณภูมิ-รถ'!C21</f>
        <v>7</v>
      </c>
      <c r="R29" s="147"/>
    </row>
    <row r="30" spans="2:18" s="66" customFormat="1" ht="75" customHeight="1" thickBot="1">
      <c r="B30" s="119"/>
      <c r="C30" s="126"/>
      <c r="D30" s="120" t="s">
        <v>126</v>
      </c>
      <c r="E30" s="164"/>
      <c r="F30" s="137" t="str">
        <f>IF(F29=0, "", IF(MOD(F29, $E$29) = 0, F29/ $E$29, IF(INT(F29 / $E$29) = 0, MOD(F29, $E$29) &amp; " P", INT(F29 / $E$29) &amp; " + " &amp; MOD(F29, $E$29) &amp; " P")))</f>
        <v>8 P</v>
      </c>
      <c r="G30" s="138" t="str">
        <f t="shared" ref="G30:O30" si="17">IF(G29=0, "", IF(MOD(G29, $E$29) = 0, G29/ $E$29, IF(INT(G29 / $E$29) = 0, MOD(G29, $E$29) &amp; " P", INT(G29 / $E$29) &amp; " + " &amp; MOD(G29, $E$29) &amp; " P")))</f>
        <v>1 P</v>
      </c>
      <c r="H30" s="138" t="str">
        <f t="shared" si="17"/>
        <v>3 P</v>
      </c>
      <c r="I30" s="138" t="str">
        <f t="shared" si="17"/>
        <v/>
      </c>
      <c r="J30" s="138" t="str">
        <f t="shared" si="17"/>
        <v>2 P</v>
      </c>
      <c r="K30" s="138" t="str">
        <f t="shared" si="17"/>
        <v>1 P</v>
      </c>
      <c r="L30" s="138" t="str">
        <f t="shared" si="17"/>
        <v>4 P</v>
      </c>
      <c r="M30" s="138" t="str">
        <f t="shared" si="17"/>
        <v>5 P</v>
      </c>
      <c r="N30" s="138" t="str">
        <f t="shared" si="17"/>
        <v/>
      </c>
      <c r="O30" s="138" t="str">
        <f t="shared" si="17"/>
        <v/>
      </c>
      <c r="P30" s="153"/>
      <c r="Q30" s="150"/>
      <c r="R30" s="148"/>
    </row>
    <row r="31" spans="2:18" s="66" customFormat="1" ht="75" customHeight="1">
      <c r="B31" s="119"/>
      <c r="C31" s="125">
        <v>13</v>
      </c>
      <c r="D31" s="124" t="s">
        <v>141</v>
      </c>
      <c r="E31" s="187">
        <v>15</v>
      </c>
      <c r="F31" s="145">
        <v>29</v>
      </c>
      <c r="G31" s="135">
        <v>10</v>
      </c>
      <c r="H31" s="136">
        <v>16</v>
      </c>
      <c r="I31" s="135">
        <v>14</v>
      </c>
      <c r="J31" s="136">
        <v>6</v>
      </c>
      <c r="K31" s="135">
        <v>4</v>
      </c>
      <c r="L31" s="136">
        <v>12</v>
      </c>
      <c r="M31" s="135">
        <v>30</v>
      </c>
      <c r="N31" s="136"/>
      <c r="O31" s="135"/>
      <c r="P31" s="162">
        <f>SUM(F31:O31)</f>
        <v>121</v>
      </c>
      <c r="Q31" s="161">
        <f>'สุวรรณภูมิ-รถ'!C22</f>
        <v>11</v>
      </c>
      <c r="R31" s="151"/>
    </row>
    <row r="32" spans="2:18" s="66" customFormat="1" ht="75" customHeight="1" thickBot="1">
      <c r="B32" s="119"/>
      <c r="C32" s="126"/>
      <c r="D32" s="120" t="s">
        <v>142</v>
      </c>
      <c r="E32" s="164"/>
      <c r="F32" s="146" t="str">
        <f>IF(F31=0, "", IF(MOD(F31, $E$31) = 0, F31/ $E$31, IF(INT(F31 / $E$31) = 0, MOD(F31, $E$31) &amp; " P", INT(F31 / $E$31) &amp; " + " &amp; MOD(F31, $E$31) &amp; " P")))</f>
        <v>1 + 14 P</v>
      </c>
      <c r="G32" s="141" t="str">
        <f t="shared" ref="G32:O32" si="18">IF(G31=0, "", IF(MOD(G31, $E$31) = 0, G31/ $E$31, IF(INT(G31 / $E$31) = 0, MOD(G31, $E$31) &amp; " P", INT(G31 / $E$31) &amp; " + " &amp; MOD(G31, $E$31) &amp; " P")))</f>
        <v>10 P</v>
      </c>
      <c r="H32" s="141" t="str">
        <f t="shared" si="18"/>
        <v>1 + 1 P</v>
      </c>
      <c r="I32" s="141" t="str">
        <f t="shared" si="18"/>
        <v>14 P</v>
      </c>
      <c r="J32" s="141" t="str">
        <f t="shared" si="18"/>
        <v>6 P</v>
      </c>
      <c r="K32" s="141" t="str">
        <f t="shared" si="18"/>
        <v>4 P</v>
      </c>
      <c r="L32" s="141" t="str">
        <f t="shared" si="18"/>
        <v>12 P</v>
      </c>
      <c r="M32" s="141">
        <f t="shared" si="18"/>
        <v>2</v>
      </c>
      <c r="N32" s="141" t="str">
        <f t="shared" si="18"/>
        <v/>
      </c>
      <c r="O32" s="142" t="str">
        <f t="shared" si="18"/>
        <v/>
      </c>
      <c r="P32" s="153"/>
      <c r="Q32" s="150"/>
      <c r="R32" s="148"/>
    </row>
    <row r="33" spans="2:18" s="66" customFormat="1" ht="75" customHeight="1">
      <c r="B33" s="119"/>
      <c r="C33" s="125">
        <v>14</v>
      </c>
      <c r="D33" s="123" t="s">
        <v>132</v>
      </c>
      <c r="E33" s="154">
        <v>15</v>
      </c>
      <c r="F33" s="134">
        <v>17</v>
      </c>
      <c r="G33" s="135">
        <v>6</v>
      </c>
      <c r="H33" s="136">
        <v>5</v>
      </c>
      <c r="I33" s="135">
        <v>2</v>
      </c>
      <c r="J33" s="136">
        <v>3</v>
      </c>
      <c r="K33" s="135">
        <v>4</v>
      </c>
      <c r="L33" s="136">
        <v>5</v>
      </c>
      <c r="M33" s="135">
        <v>1</v>
      </c>
      <c r="N33" s="136"/>
      <c r="O33" s="135"/>
      <c r="P33" s="152">
        <f>SUM(F33:O33)</f>
        <v>43</v>
      </c>
      <c r="Q33" s="149">
        <f>'สุวรรณภูมิ-รถ'!C23</f>
        <v>9</v>
      </c>
      <c r="R33" s="147"/>
    </row>
    <row r="34" spans="2:18" s="66" customFormat="1" ht="75" customHeight="1" thickBot="1">
      <c r="B34" s="119"/>
      <c r="C34" s="126"/>
      <c r="D34" s="120" t="s">
        <v>133</v>
      </c>
      <c r="E34" s="155"/>
      <c r="F34" s="137" t="str">
        <f>IF(F33=0, "", IF(MOD(F33, $E$33) = 0, F33/ $E$33, IF(INT(F33 / $E$33) = 0, MOD(F33, $E$33) &amp; " P", INT(F33 / $E$33) &amp; " + " &amp; MOD(F33, $E$33) &amp; " P")))</f>
        <v>1 + 2 P</v>
      </c>
      <c r="G34" s="137" t="str">
        <f t="shared" ref="G34:O34" si="19">IF(G33=0, "", IF(MOD(G33, $E$33) = 0, G33/ $E$33, IF(INT(G33 / $E$33) = 0, MOD(G33, $E$33) &amp; " P", INT(G33 / $E$33) &amp; " + " &amp; MOD(G33, $E$33) &amp; " P")))</f>
        <v>6 P</v>
      </c>
      <c r="H34" s="137" t="str">
        <f t="shared" si="19"/>
        <v>5 P</v>
      </c>
      <c r="I34" s="137" t="str">
        <f t="shared" si="19"/>
        <v>2 P</v>
      </c>
      <c r="J34" s="137" t="str">
        <f t="shared" si="19"/>
        <v>3 P</v>
      </c>
      <c r="K34" s="137" t="str">
        <f t="shared" si="19"/>
        <v>4 P</v>
      </c>
      <c r="L34" s="137" t="str">
        <f t="shared" si="19"/>
        <v>5 P</v>
      </c>
      <c r="M34" s="137" t="str">
        <f t="shared" si="19"/>
        <v>1 P</v>
      </c>
      <c r="N34" s="137" t="str">
        <f t="shared" si="19"/>
        <v/>
      </c>
      <c r="O34" s="138" t="str">
        <f t="shared" si="19"/>
        <v/>
      </c>
      <c r="P34" s="153"/>
      <c r="Q34" s="150"/>
      <c r="R34" s="148"/>
    </row>
    <row r="35" spans="2:18" s="66" customFormat="1" ht="75" customHeight="1">
      <c r="B35" s="119"/>
      <c r="C35" s="125">
        <v>15</v>
      </c>
      <c r="D35" s="123" t="s">
        <v>139</v>
      </c>
      <c r="E35" s="154">
        <v>27</v>
      </c>
      <c r="F35" s="143">
        <v>41</v>
      </c>
      <c r="G35" s="143">
        <v>8</v>
      </c>
      <c r="H35" s="143">
        <v>10</v>
      </c>
      <c r="I35" s="143">
        <v>24</v>
      </c>
      <c r="J35" s="143">
        <v>6</v>
      </c>
      <c r="K35" s="143">
        <v>6</v>
      </c>
      <c r="L35" s="143">
        <v>14</v>
      </c>
      <c r="M35" s="143">
        <v>20</v>
      </c>
      <c r="N35" s="143"/>
      <c r="O35" s="144"/>
      <c r="P35" s="152">
        <f>SUM(F35:O35)</f>
        <v>129</v>
      </c>
      <c r="Q35" s="149">
        <f>'สุวรรณภูมิ-รถ'!C24</f>
        <v>9</v>
      </c>
      <c r="R35" s="147"/>
    </row>
    <row r="36" spans="2:18" s="66" customFormat="1" ht="75" customHeight="1" thickBot="1">
      <c r="B36" s="119"/>
      <c r="C36" s="126"/>
      <c r="D36" s="120" t="s">
        <v>140</v>
      </c>
      <c r="E36" s="155"/>
      <c r="F36" s="137" t="str">
        <f>IF(F35=0, "", IF(MOD(F35, $E$35) = 0, F35/ $E$35, IF(INT(F35 / $E$35) = 0, MOD(F35, $E$35) &amp; " P", INT(F35 / $E$35) &amp; " + " &amp; MOD(F35, $E$35) &amp; " P")))</f>
        <v>1 + 14 P</v>
      </c>
      <c r="G36" s="137" t="str">
        <f t="shared" ref="G36:O36" si="20">IF(G35=0, "", IF(MOD(G35, $E$35) = 0, G35/ $E$35, IF(INT(G35 / $E$35) = 0, MOD(G35, $E$35) &amp; " P", INT(G35 / $E$35) &amp; " + " &amp; MOD(G35, $E$35) &amp; " P")))</f>
        <v>8 P</v>
      </c>
      <c r="H36" s="137" t="str">
        <f t="shared" si="20"/>
        <v>10 P</v>
      </c>
      <c r="I36" s="137" t="str">
        <f t="shared" si="20"/>
        <v>24 P</v>
      </c>
      <c r="J36" s="137" t="str">
        <f t="shared" si="20"/>
        <v>6 P</v>
      </c>
      <c r="K36" s="137" t="str">
        <f t="shared" si="20"/>
        <v>6 P</v>
      </c>
      <c r="L36" s="137" t="str">
        <f t="shared" si="20"/>
        <v>14 P</v>
      </c>
      <c r="M36" s="137" t="str">
        <f t="shared" si="20"/>
        <v>20 P</v>
      </c>
      <c r="N36" s="137" t="str">
        <f t="shared" si="20"/>
        <v/>
      </c>
      <c r="O36" s="138" t="str">
        <f t="shared" si="20"/>
        <v/>
      </c>
      <c r="P36" s="153"/>
      <c r="Q36" s="150"/>
      <c r="R36" s="148"/>
    </row>
    <row r="37" spans="2:18" s="66" customFormat="1" ht="75" customHeight="1">
      <c r="B37" s="119"/>
      <c r="C37" s="125">
        <v>16</v>
      </c>
      <c r="D37" s="123" t="s">
        <v>67</v>
      </c>
      <c r="E37" s="154">
        <v>20</v>
      </c>
      <c r="F37" s="134">
        <v>73</v>
      </c>
      <c r="G37" s="134">
        <v>22</v>
      </c>
      <c r="H37" s="134">
        <v>29</v>
      </c>
      <c r="I37" s="134">
        <v>32</v>
      </c>
      <c r="J37" s="134">
        <v>23</v>
      </c>
      <c r="K37" s="134">
        <v>10</v>
      </c>
      <c r="L37" s="134">
        <v>24</v>
      </c>
      <c r="M37" s="134">
        <v>31</v>
      </c>
      <c r="N37" s="134"/>
      <c r="O37" s="135"/>
      <c r="P37" s="152">
        <f>SUM(F37:O37)</f>
        <v>244</v>
      </c>
      <c r="Q37" s="149">
        <f>'สุวรรณภูมิ-รถ'!C25</f>
        <v>17</v>
      </c>
      <c r="R37" s="147"/>
    </row>
    <row r="38" spans="2:18" s="66" customFormat="1" ht="75" customHeight="1" thickBot="1">
      <c r="B38" s="119"/>
      <c r="C38" s="126"/>
      <c r="D38" s="120" t="s">
        <v>123</v>
      </c>
      <c r="E38" s="155"/>
      <c r="F38" s="137" t="str">
        <f>IF(F37=0, "", IF(MOD(F37, $E$37) = 0, F37/ $E$37, IF(INT(F37 / $E$37) = 0, MOD(F37, $E$37) &amp; " P", INT(F37 / $E$37) &amp; " + " &amp; MOD(F37, $E$37) &amp; " P")))</f>
        <v>3 + 13 P</v>
      </c>
      <c r="G38" s="137" t="str">
        <f t="shared" ref="G38:O38" si="21">IF(G37=0, "", IF(MOD(G37, $E$37) = 0, G37/ $E$37, IF(INT(G37 / $E$37) = 0, MOD(G37, $E$37) &amp; " P", INT(G37 / $E$37) &amp; " + " &amp; MOD(G37, $E$37) &amp; " P")))</f>
        <v>1 + 2 P</v>
      </c>
      <c r="H38" s="137" t="str">
        <f t="shared" si="21"/>
        <v>1 + 9 P</v>
      </c>
      <c r="I38" s="137" t="str">
        <f t="shared" si="21"/>
        <v>1 + 12 P</v>
      </c>
      <c r="J38" s="137" t="str">
        <f t="shared" si="21"/>
        <v>1 + 3 P</v>
      </c>
      <c r="K38" s="137" t="str">
        <f t="shared" si="21"/>
        <v>10 P</v>
      </c>
      <c r="L38" s="137" t="str">
        <f t="shared" si="21"/>
        <v>1 + 4 P</v>
      </c>
      <c r="M38" s="137" t="str">
        <f t="shared" si="21"/>
        <v>1 + 11 P</v>
      </c>
      <c r="N38" s="137" t="str">
        <f t="shared" si="21"/>
        <v/>
      </c>
      <c r="O38" s="138" t="str">
        <f t="shared" si="21"/>
        <v/>
      </c>
      <c r="P38" s="153"/>
      <c r="Q38" s="150"/>
      <c r="R38" s="148"/>
    </row>
    <row r="39" spans="2:18" s="66" customFormat="1" ht="75" customHeight="1">
      <c r="B39" s="119"/>
      <c r="C39" s="125">
        <v>17</v>
      </c>
      <c r="D39" s="122" t="s">
        <v>68</v>
      </c>
      <c r="E39" s="156">
        <v>32</v>
      </c>
      <c r="F39" s="143">
        <v>53</v>
      </c>
      <c r="G39" s="143">
        <v>15</v>
      </c>
      <c r="H39" s="143">
        <v>7</v>
      </c>
      <c r="I39" s="143">
        <v>11</v>
      </c>
      <c r="J39" s="143">
        <v>1</v>
      </c>
      <c r="K39" s="143">
        <v>2</v>
      </c>
      <c r="L39" s="143">
        <v>6</v>
      </c>
      <c r="M39" s="143">
        <v>15</v>
      </c>
      <c r="N39" s="143"/>
      <c r="O39" s="144"/>
      <c r="P39" s="152">
        <f>SUM(F39:O39)</f>
        <v>110</v>
      </c>
      <c r="Q39" s="149">
        <f>'สุวรรณภูมิ-รถ'!C26</f>
        <v>9</v>
      </c>
      <c r="R39" s="147"/>
    </row>
    <row r="40" spans="2:18" s="66" customFormat="1" ht="75" customHeight="1" thickBot="1">
      <c r="B40" s="119"/>
      <c r="C40" s="126"/>
      <c r="D40" s="120" t="s">
        <v>125</v>
      </c>
      <c r="E40" s="157"/>
      <c r="F40" s="137" t="str">
        <f>IF(F39=0, "", IF(MOD(F39, $E$39) = 0, F39/ $E$39, IF(INT(F39 / $E$39) = 0, MOD(F39, $E$39) &amp; " P", INT(F39 / $E$39) &amp; " + " &amp; MOD(F39, $E$39) &amp; " P")))</f>
        <v>1 + 21 P</v>
      </c>
      <c r="G40" s="137" t="str">
        <f t="shared" ref="G40:O40" si="22">IF(G39=0, "", IF(MOD(G39, $E$39) = 0, G39/ $E$39, IF(INT(G39 / $E$39) = 0, MOD(G39, $E$39) &amp; " P", INT(G39 / $E$39) &amp; " + " &amp; MOD(G39, $E$39) &amp; " P")))</f>
        <v>15 P</v>
      </c>
      <c r="H40" s="137" t="str">
        <f t="shared" si="22"/>
        <v>7 P</v>
      </c>
      <c r="I40" s="138" t="str">
        <f t="shared" si="22"/>
        <v>11 P</v>
      </c>
      <c r="J40" s="138" t="str">
        <f t="shared" si="22"/>
        <v>1 P</v>
      </c>
      <c r="K40" s="138" t="str">
        <f t="shared" si="22"/>
        <v>2 P</v>
      </c>
      <c r="L40" s="138" t="str">
        <f t="shared" si="22"/>
        <v>6 P</v>
      </c>
      <c r="M40" s="138" t="str">
        <f t="shared" si="22"/>
        <v>15 P</v>
      </c>
      <c r="N40" s="138" t="str">
        <f t="shared" si="22"/>
        <v/>
      </c>
      <c r="O40" s="138" t="str">
        <f t="shared" si="22"/>
        <v/>
      </c>
      <c r="P40" s="153"/>
      <c r="Q40" s="150"/>
      <c r="R40" s="148"/>
    </row>
    <row r="41" spans="2:18" s="66" customFormat="1" ht="75" customHeight="1">
      <c r="B41" s="119"/>
      <c r="C41" s="125">
        <v>18</v>
      </c>
      <c r="D41" s="121" t="s">
        <v>117</v>
      </c>
      <c r="E41" s="154">
        <v>15</v>
      </c>
      <c r="F41" s="143">
        <v>18</v>
      </c>
      <c r="G41" s="143">
        <v>6</v>
      </c>
      <c r="H41" s="143">
        <v>4</v>
      </c>
      <c r="I41" s="143">
        <v>8</v>
      </c>
      <c r="J41" s="143">
        <v>0</v>
      </c>
      <c r="K41" s="143">
        <v>0</v>
      </c>
      <c r="L41" s="143">
        <v>13</v>
      </c>
      <c r="M41" s="143">
        <v>11</v>
      </c>
      <c r="N41" s="143"/>
      <c r="O41" s="144"/>
      <c r="P41" s="152">
        <f>SUM(F41:O41)</f>
        <v>60</v>
      </c>
      <c r="Q41" s="149">
        <f>'สุวรรณภูมิ-รถ'!C27</f>
        <v>7</v>
      </c>
      <c r="R41" s="147"/>
    </row>
    <row r="42" spans="2:18" s="66" customFormat="1" ht="75" customHeight="1" thickBot="1">
      <c r="B42" s="119"/>
      <c r="C42" s="126"/>
      <c r="D42" s="120" t="s">
        <v>124</v>
      </c>
      <c r="E42" s="155"/>
      <c r="F42" s="137" t="str">
        <f>IF(F41=0, "", IF(MOD(F41, $E$41) = 0, F41/ $E$41, IF(INT(F41 / $E$41) = 0, MOD(F41, $E$41) &amp; " P", INT(F41 / $E$41) &amp; " + " &amp; MOD(F41, $E$41) &amp; " P")))</f>
        <v>1 + 3 P</v>
      </c>
      <c r="G42" s="137" t="str">
        <f t="shared" ref="G42:O42" si="23">IF(G41=0, "", IF(MOD(G41, $E$41) = 0, G41/ $E$41, IF(INT(G41 / $E$41) = 0, MOD(G41, $E$41) &amp; " P", INT(G41 / $E$41) &amp; " + " &amp; MOD(G41, $E$41) &amp; " P")))</f>
        <v>6 P</v>
      </c>
      <c r="H42" s="137" t="str">
        <f t="shared" si="23"/>
        <v>4 P</v>
      </c>
      <c r="I42" s="137" t="str">
        <f t="shared" si="23"/>
        <v>8 P</v>
      </c>
      <c r="J42" s="137" t="str">
        <f t="shared" si="23"/>
        <v/>
      </c>
      <c r="K42" s="137" t="str">
        <f t="shared" si="23"/>
        <v/>
      </c>
      <c r="L42" s="137" t="str">
        <f t="shared" si="23"/>
        <v>13 P</v>
      </c>
      <c r="M42" s="137" t="str">
        <f t="shared" si="23"/>
        <v>11 P</v>
      </c>
      <c r="N42" s="137" t="str">
        <f t="shared" si="23"/>
        <v/>
      </c>
      <c r="O42" s="138" t="str">
        <f t="shared" si="23"/>
        <v/>
      </c>
      <c r="P42" s="153"/>
      <c r="Q42" s="150"/>
      <c r="R42" s="148"/>
    </row>
    <row r="43" spans="2:18" s="66" customFormat="1" ht="75" customHeight="1">
      <c r="B43" s="119"/>
      <c r="C43" s="127">
        <v>19</v>
      </c>
      <c r="D43" s="121" t="s">
        <v>151</v>
      </c>
      <c r="E43" s="154">
        <v>8</v>
      </c>
      <c r="F43" s="134">
        <v>24</v>
      </c>
      <c r="G43" s="134">
        <v>17</v>
      </c>
      <c r="H43" s="134">
        <v>12</v>
      </c>
      <c r="I43" s="134">
        <v>11</v>
      </c>
      <c r="J43" s="134">
        <v>25</v>
      </c>
      <c r="K43" s="134">
        <v>13</v>
      </c>
      <c r="L43" s="134">
        <v>7</v>
      </c>
      <c r="M43" s="134">
        <v>17</v>
      </c>
      <c r="N43" s="134"/>
      <c r="O43" s="135"/>
      <c r="P43" s="152">
        <f>SUM(F43:O43)</f>
        <v>126</v>
      </c>
      <c r="Q43" s="149">
        <f>'สุวรรณภูมิ-รถ'!C28</f>
        <v>20</v>
      </c>
      <c r="R43" s="147"/>
    </row>
    <row r="44" spans="2:18" s="66" customFormat="1" ht="75" customHeight="1" thickBot="1">
      <c r="B44" s="119"/>
      <c r="C44" s="128"/>
      <c r="D44" s="120" t="s">
        <v>152</v>
      </c>
      <c r="E44" s="155"/>
      <c r="F44" s="137">
        <f>IF(F43=0, "", IF(MOD(F43, $E$43) = 0, F43/ $E$43, IF(INT(F43 / $E$43) = 0, MOD(F43, $E$43) &amp; " P", INT(F43 / $E$43) &amp; " + " &amp; MOD(F43, $E$43) &amp; " P")))</f>
        <v>3</v>
      </c>
      <c r="G44" s="137" t="str">
        <f t="shared" ref="G44:O44" si="24">IF(G43=0, "", IF(MOD(G43, $E$43) = 0, G43/ $E$43, IF(INT(G43 / $E$43) = 0, MOD(G43, $E$43) &amp; " P", INT(G43 / $E$43) &amp; " + " &amp; MOD(G43, $E$43) &amp; " P")))</f>
        <v>2 + 1 P</v>
      </c>
      <c r="H44" s="137" t="str">
        <f t="shared" si="24"/>
        <v>1 + 4 P</v>
      </c>
      <c r="I44" s="137" t="str">
        <f t="shared" si="24"/>
        <v>1 + 3 P</v>
      </c>
      <c r="J44" s="137" t="str">
        <f t="shared" si="24"/>
        <v>3 + 1 P</v>
      </c>
      <c r="K44" s="137" t="str">
        <f t="shared" si="24"/>
        <v>1 + 5 P</v>
      </c>
      <c r="L44" s="137" t="str">
        <f t="shared" si="24"/>
        <v>7 P</v>
      </c>
      <c r="M44" s="137" t="str">
        <f t="shared" si="24"/>
        <v>2 + 1 P</v>
      </c>
      <c r="N44" s="137" t="str">
        <f t="shared" si="24"/>
        <v/>
      </c>
      <c r="O44" s="138" t="str">
        <f t="shared" si="24"/>
        <v/>
      </c>
      <c r="P44" s="153"/>
      <c r="Q44" s="150"/>
      <c r="R44" s="148"/>
    </row>
    <row r="45" spans="2:18" s="66" customFormat="1" ht="90.75" customHeight="1" thickBot="1">
      <c r="B45" s="61"/>
      <c r="C45" s="61"/>
      <c r="D45" s="188" t="s">
        <v>89</v>
      </c>
      <c r="E45" s="189"/>
      <c r="F45" s="113">
        <v>-50</v>
      </c>
      <c r="G45" s="113">
        <v>-27</v>
      </c>
      <c r="H45" s="113">
        <v>-26</v>
      </c>
      <c r="I45" s="113">
        <v>-30</v>
      </c>
      <c r="J45" s="113">
        <v>-26</v>
      </c>
      <c r="K45" s="113">
        <v>-20</v>
      </c>
      <c r="L45" s="113">
        <v>-26</v>
      </c>
      <c r="M45" s="113">
        <v>-33</v>
      </c>
      <c r="N45" s="113"/>
      <c r="O45" s="113"/>
      <c r="P45" s="100" t="s">
        <v>91</v>
      </c>
      <c r="Q45" s="101">
        <f>SUM(Q7,Q9,Q11,Q13,Q15,Q17,Q19,Q21,Q23,Q25,Q27,Q29,Q31,Q33,Q35,Q37,Q39,Q41,Q43)</f>
        <v>238</v>
      </c>
      <c r="R45" s="102"/>
    </row>
    <row r="46" spans="2:18" s="65" customFormat="1" ht="68.45" customHeight="1" thickBot="1">
      <c r="B46" s="61"/>
      <c r="C46" s="61"/>
      <c r="D46" s="68"/>
      <c r="E46" s="68"/>
      <c r="F46" s="62"/>
      <c r="G46" s="197"/>
      <c r="H46" s="197"/>
      <c r="I46" s="197"/>
      <c r="J46" s="197"/>
      <c r="K46" s="197" t="s">
        <v>114</v>
      </c>
      <c r="L46" s="197"/>
      <c r="M46" s="197"/>
      <c r="N46" s="112">
        <f>SUM(Q45)</f>
        <v>238</v>
      </c>
      <c r="O46" s="99" t="s">
        <v>115</v>
      </c>
    </row>
    <row r="47" spans="2:18" s="65" customFormat="1" ht="87.6" customHeight="1" thickBot="1">
      <c r="B47" s="61"/>
      <c r="C47" s="61"/>
      <c r="D47" s="78"/>
      <c r="E47" s="190" t="s">
        <v>49</v>
      </c>
      <c r="F47" s="191"/>
      <c r="G47" s="79" t="s">
        <v>53</v>
      </c>
      <c r="H47" s="80" t="s">
        <v>54</v>
      </c>
      <c r="I47" s="80" t="s">
        <v>88</v>
      </c>
      <c r="J47" s="196"/>
      <c r="K47" s="196"/>
      <c r="L47" s="196"/>
      <c r="M47" s="199" t="s">
        <v>83</v>
      </c>
      <c r="N47" s="199"/>
      <c r="O47" s="199"/>
    </row>
    <row r="48" spans="2:18" s="65" customFormat="1" ht="67.900000000000006" customHeight="1" thickBot="1">
      <c r="B48" s="61"/>
      <c r="C48" s="61"/>
      <c r="D48" s="81" t="s">
        <v>82</v>
      </c>
      <c r="E48" s="192"/>
      <c r="F48" s="193"/>
      <c r="G48" s="82"/>
      <c r="H48" s="83"/>
      <c r="I48" s="83"/>
      <c r="J48" s="108"/>
      <c r="K48" s="104"/>
      <c r="L48" s="104"/>
      <c r="M48" s="77" t="s">
        <v>85</v>
      </c>
      <c r="N48" s="77" t="s">
        <v>59</v>
      </c>
    </row>
    <row r="49" spans="2:18" s="65" customFormat="1" ht="67.900000000000006" customHeight="1" thickBot="1">
      <c r="B49" s="61"/>
      <c r="C49" s="61"/>
      <c r="D49" s="84" t="s">
        <v>84</v>
      </c>
      <c r="E49" s="194"/>
      <c r="F49" s="195"/>
      <c r="G49" s="85"/>
      <c r="H49" s="86"/>
      <c r="I49" s="86"/>
      <c r="J49" s="108"/>
      <c r="K49" s="108"/>
      <c r="L49" s="108"/>
      <c r="M49" s="105"/>
      <c r="N49" s="106"/>
    </row>
    <row r="50" spans="2:18" s="65" customFormat="1" ht="67.900000000000006" customHeight="1" thickBot="1">
      <c r="B50" s="61"/>
      <c r="C50" s="61"/>
      <c r="D50" s="87" t="s">
        <v>86</v>
      </c>
      <c r="E50" s="200"/>
      <c r="F50" s="201"/>
      <c r="G50" s="88"/>
      <c r="H50" s="89"/>
      <c r="I50" s="89"/>
      <c r="J50" s="107"/>
      <c r="K50" s="198" t="s">
        <v>90</v>
      </c>
      <c r="L50" s="198"/>
      <c r="M50" s="110"/>
      <c r="N50" s="108"/>
      <c r="O50" s="108"/>
    </row>
    <row r="51" spans="2:18" s="65" customFormat="1" ht="57.75" customHeight="1" thickBot="1">
      <c r="B51" s="61"/>
      <c r="C51" s="61"/>
      <c r="D51" s="68"/>
      <c r="E51" s="68"/>
      <c r="F51" s="62"/>
      <c r="G51" s="62"/>
      <c r="H51" s="62"/>
      <c r="I51" s="62"/>
      <c r="J51" s="104"/>
      <c r="K51" s="198"/>
      <c r="L51" s="198"/>
      <c r="M51" s="111"/>
      <c r="N51" s="109"/>
      <c r="O51" s="109"/>
      <c r="P51" s="61"/>
      <c r="Q51" s="61"/>
      <c r="R51" s="61"/>
    </row>
  </sheetData>
  <mergeCells count="96">
    <mergeCell ref="E27:E28"/>
    <mergeCell ref="C4:C6"/>
    <mergeCell ref="C7:C8"/>
    <mergeCell ref="C9:C10"/>
    <mergeCell ref="D4:D6"/>
    <mergeCell ref="R43:R44"/>
    <mergeCell ref="R19:R20"/>
    <mergeCell ref="R39:R40"/>
    <mergeCell ref="E25:E26"/>
    <mergeCell ref="P25:P26"/>
    <mergeCell ref="Q25:Q26"/>
    <mergeCell ref="R25:R26"/>
    <mergeCell ref="E35:E36"/>
    <mergeCell ref="P35:P36"/>
    <mergeCell ref="E33:E34"/>
    <mergeCell ref="P33:P34"/>
    <mergeCell ref="Q33:Q34"/>
    <mergeCell ref="R33:R34"/>
    <mergeCell ref="E29:E30"/>
    <mergeCell ref="E31:E32"/>
    <mergeCell ref="P31:P32"/>
    <mergeCell ref="K50:L51"/>
    <mergeCell ref="Q41:Q42"/>
    <mergeCell ref="E43:E44"/>
    <mergeCell ref="P43:P44"/>
    <mergeCell ref="Q43:Q44"/>
    <mergeCell ref="M47:O47"/>
    <mergeCell ref="K46:M46"/>
    <mergeCell ref="E41:E42"/>
    <mergeCell ref="P41:P42"/>
    <mergeCell ref="E50:F50"/>
    <mergeCell ref="D45:E45"/>
    <mergeCell ref="E47:F47"/>
    <mergeCell ref="E48:F48"/>
    <mergeCell ref="E49:F49"/>
    <mergeCell ref="J47:L47"/>
    <mergeCell ref="G46:J46"/>
    <mergeCell ref="E9:E10"/>
    <mergeCell ref="E4:E6"/>
    <mergeCell ref="E7:E8"/>
    <mergeCell ref="R15:R16"/>
    <mergeCell ref="E13:E14"/>
    <mergeCell ref="P13:P14"/>
    <mergeCell ref="Q13:Q14"/>
    <mergeCell ref="Q7:Q8"/>
    <mergeCell ref="F3:O5"/>
    <mergeCell ref="E15:E16"/>
    <mergeCell ref="P15:P16"/>
    <mergeCell ref="Q15:Q16"/>
    <mergeCell ref="P11:P12"/>
    <mergeCell ref="E11:E12"/>
    <mergeCell ref="C2:E3"/>
    <mergeCell ref="C11:C12"/>
    <mergeCell ref="E23:E24"/>
    <mergeCell ref="R17:R18"/>
    <mergeCell ref="R21:R22"/>
    <mergeCell ref="R23:R24"/>
    <mergeCell ref="Q23:Q24"/>
    <mergeCell ref="P23:P24"/>
    <mergeCell ref="Q21:Q22"/>
    <mergeCell ref="P17:P18"/>
    <mergeCell ref="E21:E22"/>
    <mergeCell ref="Q17:Q18"/>
    <mergeCell ref="P21:P22"/>
    <mergeCell ref="E17:E18"/>
    <mergeCell ref="E19:E20"/>
    <mergeCell ref="P19:P20"/>
    <mergeCell ref="Q19:Q20"/>
    <mergeCell ref="P27:P28"/>
    <mergeCell ref="R3:R6"/>
    <mergeCell ref="R7:R8"/>
    <mergeCell ref="R9:R10"/>
    <mergeCell ref="Q9:Q10"/>
    <mergeCell ref="P9:P10"/>
    <mergeCell ref="R11:R12"/>
    <mergeCell ref="Q11:Q12"/>
    <mergeCell ref="P3:Q5"/>
    <mergeCell ref="P7:P8"/>
    <mergeCell ref="E37:E38"/>
    <mergeCell ref="P37:P38"/>
    <mergeCell ref="E39:E40"/>
    <mergeCell ref="P39:P40"/>
    <mergeCell ref="Q39:Q40"/>
    <mergeCell ref="P29:P30"/>
    <mergeCell ref="Q29:Q30"/>
    <mergeCell ref="R41:R42"/>
    <mergeCell ref="Q37:Q38"/>
    <mergeCell ref="R37:R38"/>
    <mergeCell ref="R29:R30"/>
    <mergeCell ref="Q31:Q32"/>
    <mergeCell ref="R13:R14"/>
    <mergeCell ref="Q27:Q28"/>
    <mergeCell ref="Q35:Q36"/>
    <mergeCell ref="R35:R36"/>
    <mergeCell ref="R31:R32"/>
    <mergeCell ref="R27:R28"/>
  </mergeCells>
  <printOptions horizontalCentered="1"/>
  <pageMargins left="0" right="0" top="0.15748031496062992" bottom="0" header="0" footer="0"/>
  <pageSetup paperSize="9" scale="1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U51"/>
  <sheetViews>
    <sheetView topLeftCell="A16" zoomScale="90" zoomScaleNormal="90" workbookViewId="0">
      <selection activeCell="N25" sqref="N25"/>
    </sheetView>
  </sheetViews>
  <sheetFormatPr defaultColWidth="8.875" defaultRowHeight="15" customHeight="1"/>
  <cols>
    <col min="1" max="1" width="35.75" style="1" customWidth="1"/>
    <col min="2" max="3" width="11.625" style="1" customWidth="1"/>
    <col min="4" max="13" width="5.75" style="1" customWidth="1"/>
    <col min="14" max="14" width="20.125" style="1" customWidth="1"/>
    <col min="15" max="16" width="10.75" style="1" customWidth="1"/>
    <col min="17" max="17" width="15.75" style="1" customWidth="1"/>
    <col min="18" max="47" width="3.75" style="1" customWidth="1"/>
    <col min="48" max="16384" width="8.875" style="1"/>
  </cols>
  <sheetData>
    <row r="1" spans="1:47" ht="49.9" customHeight="1">
      <c r="A1" s="1" t="e" vm="1">
        <v>#VALUE!</v>
      </c>
      <c r="B1" s="210" t="s">
        <v>120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O1" s="212" t="s">
        <v>18</v>
      </c>
      <c r="P1" s="212"/>
      <c r="Q1" s="212"/>
    </row>
    <row r="2" spans="1:47" ht="10.15" customHeight="1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O2" s="41"/>
      <c r="P2" s="41"/>
      <c r="Q2" s="41"/>
    </row>
    <row r="3" spans="1:47" ht="15" customHeight="1">
      <c r="A3" s="42"/>
      <c r="B3" s="40"/>
      <c r="C3" s="40"/>
      <c r="D3" s="2"/>
      <c r="O3" s="212" t="s">
        <v>17</v>
      </c>
      <c r="P3" s="212"/>
      <c r="Q3" s="212"/>
    </row>
    <row r="4" spans="1:47" ht="25.15" customHeight="1">
      <c r="A4" s="43" t="s">
        <v>24</v>
      </c>
      <c r="B4" s="40"/>
      <c r="C4" s="40"/>
      <c r="O4" s="212"/>
      <c r="P4" s="212"/>
      <c r="Q4" s="212"/>
    </row>
    <row r="5" spans="1:47" ht="4.9000000000000004" customHeight="1">
      <c r="A5" s="43"/>
      <c r="B5" s="40"/>
      <c r="C5" s="40"/>
      <c r="O5" s="41"/>
      <c r="P5" s="41"/>
      <c r="Q5" s="41"/>
    </row>
    <row r="6" spans="1:47" ht="25.15" customHeight="1">
      <c r="A6" s="213" t="s">
        <v>21</v>
      </c>
      <c r="B6" s="213"/>
      <c r="C6" s="214" t="s">
        <v>22</v>
      </c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</row>
    <row r="7" spans="1:47" ht="19.899999999999999" customHeight="1">
      <c r="A7" s="213"/>
      <c r="B7" s="213"/>
      <c r="C7" s="219" t="s">
        <v>33</v>
      </c>
      <c r="D7" s="221" t="s">
        <v>34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3"/>
    </row>
    <row r="8" spans="1:47" ht="15" customHeight="1">
      <c r="A8" s="213"/>
      <c r="B8" s="213"/>
      <c r="C8" s="220"/>
      <c r="D8" s="215" t="s">
        <v>0</v>
      </c>
      <c r="E8" s="215" t="s">
        <v>1</v>
      </c>
      <c r="F8" s="215" t="s">
        <v>25</v>
      </c>
      <c r="G8" s="215" t="s">
        <v>26</v>
      </c>
      <c r="H8" s="215" t="s">
        <v>27</v>
      </c>
      <c r="I8" s="215" t="s">
        <v>28</v>
      </c>
      <c r="J8" s="215" t="s">
        <v>29</v>
      </c>
      <c r="K8" s="215" t="s">
        <v>30</v>
      </c>
      <c r="L8" s="215" t="s">
        <v>31</v>
      </c>
      <c r="M8" s="215" t="s">
        <v>32</v>
      </c>
      <c r="N8" s="44"/>
      <c r="O8" s="215" t="s">
        <v>35</v>
      </c>
      <c r="P8" s="215" t="s">
        <v>36</v>
      </c>
      <c r="Q8" s="215" t="s">
        <v>37</v>
      </c>
      <c r="R8" s="211" t="s">
        <v>4</v>
      </c>
      <c r="S8" s="211"/>
      <c r="T8" s="211"/>
      <c r="U8" s="211" t="s">
        <v>5</v>
      </c>
      <c r="V8" s="211"/>
      <c r="W8" s="211"/>
      <c r="X8" s="211" t="s">
        <v>7</v>
      </c>
      <c r="Y8" s="211"/>
      <c r="Z8" s="211"/>
      <c r="AA8" s="211" t="s">
        <v>8</v>
      </c>
      <c r="AB8" s="211"/>
      <c r="AC8" s="211"/>
      <c r="AD8" s="211" t="s">
        <v>9</v>
      </c>
      <c r="AE8" s="211"/>
      <c r="AF8" s="211"/>
      <c r="AG8" s="211" t="s">
        <v>10</v>
      </c>
      <c r="AH8" s="211"/>
      <c r="AI8" s="211"/>
      <c r="AJ8" s="211" t="s">
        <v>11</v>
      </c>
      <c r="AK8" s="211"/>
      <c r="AL8" s="211"/>
      <c r="AM8" s="211" t="s">
        <v>12</v>
      </c>
      <c r="AN8" s="211"/>
      <c r="AO8" s="211"/>
      <c r="AP8" s="211" t="s">
        <v>13</v>
      </c>
      <c r="AQ8" s="211"/>
      <c r="AR8" s="211"/>
      <c r="AS8" s="211" t="s">
        <v>14</v>
      </c>
      <c r="AT8" s="211"/>
      <c r="AU8" s="211"/>
    </row>
    <row r="9" spans="1:47" ht="25.15" customHeight="1">
      <c r="A9" s="64" t="s">
        <v>38</v>
      </c>
      <c r="B9" s="91" t="s">
        <v>39</v>
      </c>
      <c r="C9" s="220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90" t="s">
        <v>3</v>
      </c>
      <c r="O9" s="216"/>
      <c r="P9" s="217"/>
      <c r="Q9" s="217"/>
      <c r="R9" s="45" t="s">
        <v>2</v>
      </c>
      <c r="S9" s="46" t="s">
        <v>6</v>
      </c>
      <c r="T9" s="47" t="s">
        <v>23</v>
      </c>
      <c r="U9" s="45" t="s">
        <v>2</v>
      </c>
      <c r="V9" s="46" t="s">
        <v>6</v>
      </c>
      <c r="W9" s="47" t="s">
        <v>23</v>
      </c>
      <c r="X9" s="45" t="s">
        <v>2</v>
      </c>
      <c r="Y9" s="46" t="s">
        <v>6</v>
      </c>
      <c r="Z9" s="47" t="s">
        <v>23</v>
      </c>
      <c r="AA9" s="45" t="s">
        <v>2</v>
      </c>
      <c r="AB9" s="46" t="s">
        <v>6</v>
      </c>
      <c r="AC9" s="47" t="s">
        <v>23</v>
      </c>
      <c r="AD9" s="45" t="s">
        <v>2</v>
      </c>
      <c r="AE9" s="46" t="s">
        <v>6</v>
      </c>
      <c r="AF9" s="47" t="s">
        <v>23</v>
      </c>
      <c r="AG9" s="45" t="s">
        <v>2</v>
      </c>
      <c r="AH9" s="46" t="s">
        <v>6</v>
      </c>
      <c r="AI9" s="47" t="s">
        <v>23</v>
      </c>
      <c r="AJ9" s="45" t="s">
        <v>2</v>
      </c>
      <c r="AK9" s="46" t="s">
        <v>6</v>
      </c>
      <c r="AL9" s="47" t="s">
        <v>23</v>
      </c>
      <c r="AM9" s="45" t="s">
        <v>2</v>
      </c>
      <c r="AN9" s="46" t="s">
        <v>6</v>
      </c>
      <c r="AO9" s="47" t="s">
        <v>23</v>
      </c>
      <c r="AP9" s="45" t="s">
        <v>2</v>
      </c>
      <c r="AQ9" s="46" t="s">
        <v>6</v>
      </c>
      <c r="AR9" s="47" t="s">
        <v>23</v>
      </c>
      <c r="AS9" s="45" t="s">
        <v>2</v>
      </c>
      <c r="AT9" s="46" t="s">
        <v>6</v>
      </c>
      <c r="AU9" s="47" t="s">
        <v>23</v>
      </c>
    </row>
    <row r="10" spans="1:47" ht="22.5" customHeight="1">
      <c r="A10" s="132" t="s">
        <v>119</v>
      </c>
      <c r="B10" s="96">
        <v>36</v>
      </c>
      <c r="C10" s="96" cm="1">
        <f t="array" ref="C10">SUMPRODUCT(ROUNDUP(D10:M10/B10, 0))</f>
        <v>9</v>
      </c>
      <c r="D10" s="96">
        <f>'สุวรรณภูมิ-ผลิต'!F7</f>
        <v>43</v>
      </c>
      <c r="E10" s="96">
        <f>'สุวรรณภูมิ-ผลิต'!G7</f>
        <v>29</v>
      </c>
      <c r="F10" s="96">
        <f>'สุวรรณภูมิ-ผลิต'!H7</f>
        <v>24</v>
      </c>
      <c r="G10" s="96">
        <f>'สุวรรณภูมิ-ผลิต'!I7</f>
        <v>21</v>
      </c>
      <c r="H10" s="96">
        <f>'สุวรรณภูมิ-ผลิต'!J7</f>
        <v>22</v>
      </c>
      <c r="I10" s="96">
        <f>'สุวรรณภูมิ-ผลิต'!K7</f>
        <v>10</v>
      </c>
      <c r="J10" s="96">
        <f>'สุวรรณภูมิ-ผลิต'!L7</f>
        <v>12</v>
      </c>
      <c r="K10" s="96">
        <f>'สุวรรณภูมิ-ผลิต'!M7</f>
        <v>31</v>
      </c>
      <c r="L10" s="96">
        <f>'สุวรรณภูมิ-ผลิต'!N7</f>
        <v>0</v>
      </c>
      <c r="M10" s="96">
        <f>'สุวรรณภูมิ-ผลิต'!O7</f>
        <v>0</v>
      </c>
      <c r="N10" s="96" t="str">
        <f>INT(SUM(D10:M10)/B10) &amp; " full, " &amp; IF(MOD(SUM(D10:M10), B10)/B10 &lt;= 0.5, "1 less than half", IF(MOD(SUM(D10:M10), B10)/B10 &gt; 0.5, "1 more than half", ""))</f>
        <v>5 full, 1 less than half</v>
      </c>
      <c r="O10" s="96"/>
      <c r="P10" s="130"/>
      <c r="Q10" s="131"/>
      <c r="R10" s="50">
        <f>INT(D10/B10)</f>
        <v>1</v>
      </c>
      <c r="S10" s="51">
        <f>IF(MOD(D10,B10)/B10&gt;0.5,1,0)</f>
        <v>0</v>
      </c>
      <c r="T10" s="52">
        <f>IF(AND(MOD(D10,B10)/B10&lt;=0.5,MOD(D10,B10)&lt;&gt;0),1,0)</f>
        <v>1</v>
      </c>
      <c r="U10" s="50">
        <f>INT(E10/B10)</f>
        <v>0</v>
      </c>
      <c r="V10" s="51">
        <f>IF(MOD(E10,B10)/B10&gt;0.5,1,0)</f>
        <v>1</v>
      </c>
      <c r="W10" s="52">
        <f>IF(AND(MOD(E10,B10)/B10&lt;=0.5,MOD(E10,B10)&lt;&gt;0),1,0)</f>
        <v>0</v>
      </c>
      <c r="X10" s="50">
        <f t="shared" ref="X10:X18" si="0">INT(F10/B10)</f>
        <v>0</v>
      </c>
      <c r="Y10" s="51">
        <f t="shared" ref="Y10:Y18" si="1">IF(MOD(F10,B10)/B10&gt;0.5,1,0)</f>
        <v>1</v>
      </c>
      <c r="Z10" s="52">
        <f t="shared" ref="Z10:Z18" si="2">IF(AND(MOD(F10,B10)/B10&lt;=0.5,MOD(F10,B10)&lt;&gt;0),1,0)</f>
        <v>0</v>
      </c>
      <c r="AA10" s="50">
        <f>INT(G10/B10)</f>
        <v>0</v>
      </c>
      <c r="AB10" s="51">
        <f>IF(MOD(G10,B10)/B10&gt;0.5,1,0)</f>
        <v>1</v>
      </c>
      <c r="AC10" s="52">
        <f>IF(AND(MOD(G10,B10)/B10&lt;=0.5,MOD(G10,B10)&lt;&gt;0),1,0)</f>
        <v>0</v>
      </c>
      <c r="AD10" s="50">
        <f>INT(H10/B10)</f>
        <v>0</v>
      </c>
      <c r="AE10" s="51">
        <f>IF(MOD(H10,B10)/B10&gt;0.5,1,0)</f>
        <v>1</v>
      </c>
      <c r="AF10" s="52">
        <f>IF(AND(MOD(H10,B10)/B10&lt;=0.5,MOD(H10,B10)&lt;&gt;0),1,0)</f>
        <v>0</v>
      </c>
      <c r="AG10" s="50">
        <f>INT(I10/B10)</f>
        <v>0</v>
      </c>
      <c r="AH10" s="51">
        <f>IF(MOD(I10,B10)/B10&gt;0.5,1,0)</f>
        <v>0</v>
      </c>
      <c r="AI10" s="52">
        <f>IF(AND(MOD(I10,B10)/B10&lt;=0.5,MOD(I10,B10)&lt;&gt;0),1,0)</f>
        <v>1</v>
      </c>
      <c r="AJ10" s="50">
        <f>INT(J10/B10)</f>
        <v>0</v>
      </c>
      <c r="AK10" s="51">
        <f>IF(MOD(J10,B10)/B10&gt;0.5,1,0)</f>
        <v>0</v>
      </c>
      <c r="AL10" s="52">
        <f>IF(AND(MOD(J10,B10)/B10&lt;=0.5,MOD(J10,B10)&lt;&gt;0),1,0)</f>
        <v>1</v>
      </c>
      <c r="AM10" s="50">
        <f>INT(K10/B10)</f>
        <v>0</v>
      </c>
      <c r="AN10" s="51">
        <f>IF(MOD(K10,B10)/B10&gt;0.5,1,0)</f>
        <v>1</v>
      </c>
      <c r="AO10" s="52">
        <f>IF(AND(MOD(K10,B10)/B10&lt;=0.5,MOD(K10,B10)&lt;&gt;0),1,0)</f>
        <v>0</v>
      </c>
      <c r="AP10" s="50">
        <f>INT(L10/B10)</f>
        <v>0</v>
      </c>
      <c r="AQ10" s="51">
        <f>IF(MOD(L10,B10)/B10&gt;0.5,1,0)</f>
        <v>0</v>
      </c>
      <c r="AR10" s="52">
        <f>IF(AND(MOD(L10,B10)/B10&lt;=0.5,MOD(L10,B10)&lt;&gt;0),1,0)</f>
        <v>0</v>
      </c>
      <c r="AS10" s="50">
        <f>INT(M10/B10)</f>
        <v>0</v>
      </c>
      <c r="AT10" s="51">
        <f>IF(MOD(M10,B10)/B10&gt;0.5,1,0)</f>
        <v>0</v>
      </c>
      <c r="AU10" s="52">
        <f>IF(AND(MOD(M10,B10)/B10&lt;=0.5,MOD(M10,B10)&lt;&gt;0),1,0)</f>
        <v>0</v>
      </c>
    </row>
    <row r="11" spans="1:47" ht="22.5" customHeight="1">
      <c r="A11" s="132" t="s">
        <v>61</v>
      </c>
      <c r="B11" s="96">
        <v>32</v>
      </c>
      <c r="C11" s="96" cm="1">
        <f t="array" ref="C11">SUMPRODUCT(ROUNDUP(D11:M11/B11, 0))</f>
        <v>20</v>
      </c>
      <c r="D11" s="96">
        <f>'สุวรรณภูมิ-ผลิต'!F9</f>
        <v>127</v>
      </c>
      <c r="E11" s="96">
        <f>'สุวรรณภูมิ-ผลิต'!G9</f>
        <v>53</v>
      </c>
      <c r="F11" s="96">
        <f>'สุวรรณภูมิ-ผลิต'!H9</f>
        <v>52</v>
      </c>
      <c r="G11" s="96">
        <f>'สุวรรณภูมิ-ผลิต'!I9</f>
        <v>80</v>
      </c>
      <c r="H11" s="96">
        <f>'สุวรรณภูมิ-ผลิต'!J9</f>
        <v>49</v>
      </c>
      <c r="I11" s="96">
        <f>'สุวรรณภูมิ-ผลิต'!K9</f>
        <v>22</v>
      </c>
      <c r="J11" s="96">
        <f>'สุวรรณภูมิ-ผลิต'!L9</f>
        <v>65</v>
      </c>
      <c r="K11" s="96">
        <f>'สุวรรณภูมิ-ผลิต'!M9</f>
        <v>92</v>
      </c>
      <c r="L11" s="96">
        <f>'สุวรรณภูมิ-ผลิต'!N9</f>
        <v>0</v>
      </c>
      <c r="M11" s="96">
        <f>'สุวรรณภูมิ-ผลิต'!O9</f>
        <v>0</v>
      </c>
      <c r="N11" s="96" t="str">
        <f t="shared" ref="N11:N24" si="3">INT(SUM(D11:M11)/B11) &amp; " full, " &amp; IF(MOD(SUM(D11:M11), B11)/B11 &lt;= 0.5, "1 less than half", IF(MOD(SUM(D11:M11), B11)/B11 &gt; 0.5, "1 more than half", ""))</f>
        <v>16 full, 1 more than half</v>
      </c>
      <c r="O11" s="96"/>
      <c r="P11" s="130"/>
      <c r="Q11" s="131"/>
      <c r="R11" s="50">
        <f t="shared" ref="R10:R18" si="4">INT(D11/B11)</f>
        <v>3</v>
      </c>
      <c r="S11" s="51">
        <f t="shared" ref="S10:S18" si="5">IF(MOD(D11,B11)/B11&gt;0.5,1,0)</f>
        <v>1</v>
      </c>
      <c r="T11" s="52">
        <f t="shared" ref="T10:T18" si="6">IF(AND(MOD(D11,B11)/B11&lt;=0.5,MOD(D11,B11)&lt;&gt;0),1,0)</f>
        <v>0</v>
      </c>
      <c r="U11" s="50">
        <f t="shared" ref="U11:U18" si="7">INT(E11/B11)</f>
        <v>1</v>
      </c>
      <c r="V11" s="51">
        <f t="shared" ref="V11:V18" si="8">IF(MOD(E11,B11)/B11&gt;0.5,1,0)</f>
        <v>1</v>
      </c>
      <c r="W11" s="52">
        <f t="shared" ref="W11:W18" si="9">IF(AND(MOD(E11,B11)/B11&lt;=0.5,MOD(E11,B11)&lt;&gt;0),1,0)</f>
        <v>0</v>
      </c>
      <c r="X11" s="50">
        <f t="shared" si="0"/>
        <v>1</v>
      </c>
      <c r="Y11" s="51">
        <f t="shared" si="1"/>
        <v>1</v>
      </c>
      <c r="Z11" s="52">
        <f t="shared" si="2"/>
        <v>0</v>
      </c>
      <c r="AA11" s="50">
        <f t="shared" ref="AA11:AA18" si="10">INT(G11/B11)</f>
        <v>2</v>
      </c>
      <c r="AB11" s="51">
        <f t="shared" ref="AB11:AB18" si="11">IF(MOD(G11,B11)/B11&gt;0.5,1,0)</f>
        <v>0</v>
      </c>
      <c r="AC11" s="52">
        <f t="shared" ref="AC11:AC18" si="12">IF(AND(MOD(G11,B11)/B11&lt;=0.5,MOD(G11,B11)&lt;&gt;0),1,0)</f>
        <v>1</v>
      </c>
      <c r="AD11" s="50">
        <f t="shared" ref="AD11:AD18" si="13">INT(H11/B11)</f>
        <v>1</v>
      </c>
      <c r="AE11" s="51">
        <f t="shared" ref="AE11:AE18" si="14">IF(MOD(H11,B11)/B11&gt;0.5,1,0)</f>
        <v>1</v>
      </c>
      <c r="AF11" s="52">
        <f t="shared" ref="AF11:AF18" si="15">IF(AND(MOD(H11,B11)/B11&lt;=0.5,MOD(H11,B11)&lt;&gt;0),1,0)</f>
        <v>0</v>
      </c>
      <c r="AG11" s="50">
        <f t="shared" ref="AG11:AG18" si="16">INT(I11/B11)</f>
        <v>0</v>
      </c>
      <c r="AH11" s="51">
        <f t="shared" ref="AH11:AH18" si="17">IF(MOD(I11,B11)/B11&gt;0.5,1,0)</f>
        <v>1</v>
      </c>
      <c r="AI11" s="52">
        <f t="shared" ref="AI11:AI18" si="18">IF(AND(MOD(I11,B11)/B11&lt;=0.5,MOD(I11,B11)&lt;&gt;0),1,0)</f>
        <v>0</v>
      </c>
      <c r="AJ11" s="50">
        <f t="shared" ref="AJ11:AJ18" si="19">INT(J11/B11)</f>
        <v>2</v>
      </c>
      <c r="AK11" s="51">
        <f t="shared" ref="AK11:AK18" si="20">IF(MOD(J11,B11)/B11&gt;0.5,1,0)</f>
        <v>0</v>
      </c>
      <c r="AL11" s="52">
        <f t="shared" ref="AL11:AL18" si="21">IF(AND(MOD(J11,B11)/B11&lt;=0.5,MOD(J11,B11)&lt;&gt;0),1,0)</f>
        <v>1</v>
      </c>
      <c r="AM11" s="50">
        <f t="shared" ref="AM11:AM18" si="22">INT(K11/B11)</f>
        <v>2</v>
      </c>
      <c r="AN11" s="51">
        <f t="shared" ref="AN11:AN18" si="23">IF(MOD(K11,B11)/B11&gt;0.5,1,0)</f>
        <v>1</v>
      </c>
      <c r="AO11" s="52">
        <f t="shared" ref="AO11:AO18" si="24">IF(AND(MOD(K11,B11)/B11&lt;=0.5,MOD(K11,B11)&lt;&gt;0),1,0)</f>
        <v>0</v>
      </c>
      <c r="AP11" s="50">
        <f t="shared" ref="AP11:AP18" si="25">INT(L11/B11)</f>
        <v>0</v>
      </c>
      <c r="AQ11" s="51">
        <f t="shared" ref="AQ11:AQ18" si="26">IF(MOD(L11,B11)/B11&gt;0.5,1,0)</f>
        <v>0</v>
      </c>
      <c r="AR11" s="52">
        <f t="shared" ref="AR11:AR18" si="27">IF(AND(MOD(L11,B11)/B11&lt;=0.5,MOD(L11,B11)&lt;&gt;0),1,0)</f>
        <v>0</v>
      </c>
      <c r="AS11" s="50">
        <f t="shared" ref="AS11:AS18" si="28">INT(M11/B11)</f>
        <v>0</v>
      </c>
      <c r="AT11" s="51">
        <f t="shared" ref="AT11:AT18" si="29">IF(MOD(M11,B11)/B11&gt;0.5,1,0)</f>
        <v>0</v>
      </c>
      <c r="AU11" s="52">
        <f t="shared" ref="AU11:AU18" si="30">IF(AND(MOD(M11,B11)/B11&lt;=0.5,MOD(M11,B11)&lt;&gt;0),1,0)</f>
        <v>0</v>
      </c>
    </row>
    <row r="12" spans="1:47" ht="22.5" customHeight="1" thickBot="1">
      <c r="A12" s="132" t="s">
        <v>134</v>
      </c>
      <c r="B12" s="96">
        <v>36</v>
      </c>
      <c r="C12" s="96" cm="1">
        <f t="array" ref="C12">SUMPRODUCT(ROUNDUP(D12:M12/B12, 0))</f>
        <v>9</v>
      </c>
      <c r="D12" s="96">
        <f>'สุวรรณภูมิ-ผลิต'!F11</f>
        <v>63</v>
      </c>
      <c r="E12" s="96">
        <f>'สุวรรณภูมิ-ผลิต'!G11</f>
        <v>16</v>
      </c>
      <c r="F12" s="96">
        <f>'สุวรรณภูมิ-ผลิต'!H11</f>
        <v>13</v>
      </c>
      <c r="G12" s="96">
        <f>'สุวรรณภูมิ-ผลิต'!I11</f>
        <v>30</v>
      </c>
      <c r="H12" s="96">
        <f>'สุวรรณภูมิ-ผลิต'!J11</f>
        <v>12</v>
      </c>
      <c r="I12" s="96">
        <f>'สุวรรณภูมิ-ผลิต'!K11</f>
        <v>7</v>
      </c>
      <c r="J12" s="96">
        <f>'สุวรรณภูมิ-ผลิต'!L11</f>
        <v>24</v>
      </c>
      <c r="K12" s="96">
        <f>'สุวรรณภูมิ-ผลิต'!M11</f>
        <v>25</v>
      </c>
      <c r="L12" s="96">
        <f>'สุวรรณภูมิ-ผลิต'!N11</f>
        <v>0</v>
      </c>
      <c r="M12" s="96">
        <f>'สุวรรณภูมิ-ผลิต'!O11</f>
        <v>0</v>
      </c>
      <c r="N12" s="96" t="str">
        <f t="shared" si="3"/>
        <v>5 full, 1 less than half</v>
      </c>
      <c r="O12" s="96"/>
      <c r="P12" s="130"/>
      <c r="Q12" s="131"/>
      <c r="R12" s="50">
        <f t="shared" si="4"/>
        <v>1</v>
      </c>
      <c r="S12" s="51">
        <f t="shared" si="5"/>
        <v>1</v>
      </c>
      <c r="T12" s="52">
        <f t="shared" si="6"/>
        <v>0</v>
      </c>
      <c r="U12" s="50">
        <f t="shared" si="7"/>
        <v>0</v>
      </c>
      <c r="V12" s="51">
        <f t="shared" si="8"/>
        <v>0</v>
      </c>
      <c r="W12" s="52">
        <f t="shared" si="9"/>
        <v>1</v>
      </c>
      <c r="X12" s="50">
        <f t="shared" si="0"/>
        <v>0</v>
      </c>
      <c r="Y12" s="51">
        <f t="shared" si="1"/>
        <v>0</v>
      </c>
      <c r="Z12" s="52">
        <f t="shared" si="2"/>
        <v>1</v>
      </c>
      <c r="AA12" s="50">
        <f t="shared" si="10"/>
        <v>0</v>
      </c>
      <c r="AB12" s="51">
        <f t="shared" si="11"/>
        <v>1</v>
      </c>
      <c r="AC12" s="52">
        <f t="shared" si="12"/>
        <v>0</v>
      </c>
      <c r="AD12" s="50">
        <f t="shared" si="13"/>
        <v>0</v>
      </c>
      <c r="AE12" s="51">
        <f t="shared" si="14"/>
        <v>0</v>
      </c>
      <c r="AF12" s="52">
        <f t="shared" si="15"/>
        <v>1</v>
      </c>
      <c r="AG12" s="50">
        <f t="shared" si="16"/>
        <v>0</v>
      </c>
      <c r="AH12" s="51">
        <f t="shared" si="17"/>
        <v>0</v>
      </c>
      <c r="AI12" s="52">
        <f t="shared" si="18"/>
        <v>1</v>
      </c>
      <c r="AJ12" s="50">
        <f t="shared" si="19"/>
        <v>0</v>
      </c>
      <c r="AK12" s="51">
        <f t="shared" si="20"/>
        <v>1</v>
      </c>
      <c r="AL12" s="52">
        <f t="shared" si="21"/>
        <v>0</v>
      </c>
      <c r="AM12" s="50">
        <f t="shared" si="22"/>
        <v>0</v>
      </c>
      <c r="AN12" s="51">
        <f t="shared" si="23"/>
        <v>1</v>
      </c>
      <c r="AO12" s="52">
        <f t="shared" si="24"/>
        <v>0</v>
      </c>
      <c r="AP12" s="50">
        <f t="shared" si="25"/>
        <v>0</v>
      </c>
      <c r="AQ12" s="51">
        <f t="shared" si="26"/>
        <v>0</v>
      </c>
      <c r="AR12" s="52">
        <f t="shared" si="27"/>
        <v>0</v>
      </c>
      <c r="AS12" s="50">
        <f t="shared" si="28"/>
        <v>0</v>
      </c>
      <c r="AT12" s="51">
        <f t="shared" si="29"/>
        <v>0</v>
      </c>
      <c r="AU12" s="52">
        <f t="shared" si="30"/>
        <v>0</v>
      </c>
    </row>
    <row r="13" spans="1:47" ht="22.5" customHeight="1" thickBot="1">
      <c r="A13" s="133" t="s">
        <v>145</v>
      </c>
      <c r="B13" s="96">
        <v>14</v>
      </c>
      <c r="C13" s="96" cm="1">
        <f t="array" ref="C13">SUMPRODUCT(ROUNDUP(D13:M13/B13, 0))</f>
        <v>20</v>
      </c>
      <c r="D13" s="96">
        <f>'สุวรรณภูมิ-ผลิต'!F13</f>
        <v>49</v>
      </c>
      <c r="E13" s="96">
        <f>'สุวรรณภูมิ-ผลิต'!G13</f>
        <v>22</v>
      </c>
      <c r="F13" s="96">
        <f>'สุวรรณภูมิ-ผลิต'!H13</f>
        <v>32</v>
      </c>
      <c r="G13" s="96">
        <f>'สุวรรณภูมิ-ผลิต'!I13</f>
        <v>35</v>
      </c>
      <c r="H13" s="96">
        <f>'สุวรรณภูมิ-ผลิต'!J13</f>
        <v>22</v>
      </c>
      <c r="I13" s="96">
        <f>'สุวรรณภูมิ-ผลิต'!K13</f>
        <v>14</v>
      </c>
      <c r="J13" s="96">
        <f>'สุวรรณภูมิ-ผลิต'!L13</f>
        <v>20</v>
      </c>
      <c r="K13" s="96">
        <f>'สุวรรณภูมิ-ผลิต'!M13</f>
        <v>37</v>
      </c>
      <c r="L13" s="96">
        <f>'สุวรรณภูมิ-ผลิต'!N13</f>
        <v>0</v>
      </c>
      <c r="M13" s="96">
        <f>'สุวรรณภูมิ-ผลิต'!O13</f>
        <v>0</v>
      </c>
      <c r="N13" s="96"/>
      <c r="O13" s="96"/>
      <c r="P13" s="130"/>
      <c r="Q13" s="131"/>
      <c r="R13" s="50"/>
      <c r="S13" s="51"/>
      <c r="T13" s="52"/>
      <c r="U13" s="50"/>
      <c r="V13" s="51"/>
      <c r="W13" s="52"/>
      <c r="X13" s="50"/>
      <c r="Y13" s="51"/>
      <c r="Z13" s="52"/>
      <c r="AA13" s="50"/>
      <c r="AB13" s="51"/>
      <c r="AC13" s="52"/>
      <c r="AD13" s="50"/>
      <c r="AE13" s="51"/>
      <c r="AF13" s="52"/>
      <c r="AG13" s="50"/>
      <c r="AH13" s="51"/>
      <c r="AI13" s="52"/>
      <c r="AJ13" s="50"/>
      <c r="AK13" s="51"/>
      <c r="AL13" s="52"/>
      <c r="AM13" s="50"/>
      <c r="AN13" s="51"/>
      <c r="AO13" s="52"/>
      <c r="AP13" s="50"/>
      <c r="AQ13" s="51"/>
      <c r="AR13" s="52"/>
      <c r="AS13" s="50"/>
      <c r="AT13" s="51"/>
      <c r="AU13" s="52"/>
    </row>
    <row r="14" spans="1:47" ht="22.5" customHeight="1">
      <c r="A14" s="133" t="s">
        <v>147</v>
      </c>
      <c r="B14" s="96">
        <v>14</v>
      </c>
      <c r="C14" s="96" cm="1">
        <f t="array" ref="C14">SUMPRODUCT(ROUNDUP(D14:M14/B14, 0))</f>
        <v>16</v>
      </c>
      <c r="D14" s="96">
        <f>'สุวรรณภูมิ-ผลิต'!F15</f>
        <v>36</v>
      </c>
      <c r="E14" s="96">
        <f>'สุวรรณภูมิ-ผลิต'!G15</f>
        <v>22</v>
      </c>
      <c r="F14" s="96">
        <f>'สุวรรณภูมิ-ผลิต'!H15</f>
        <v>12</v>
      </c>
      <c r="G14" s="96">
        <f>'สุวรรณภูมิ-ผลิต'!I15</f>
        <v>28</v>
      </c>
      <c r="H14" s="96">
        <f>'สุวรรณภูมิ-ผลิต'!J15</f>
        <v>18</v>
      </c>
      <c r="I14" s="96">
        <f>'สุวรรณภูมิ-ผลิต'!K15</f>
        <v>9</v>
      </c>
      <c r="J14" s="96">
        <f>'สุวรรณภูมิ-ผลิต'!L15</f>
        <v>16</v>
      </c>
      <c r="K14" s="96">
        <f>'สุวรรณภูมิ-ผลิต'!M15</f>
        <v>29</v>
      </c>
      <c r="L14" s="96">
        <f>'สุวรรณภูมิ-ผลิต'!N15</f>
        <v>0</v>
      </c>
      <c r="M14" s="96">
        <f>'สุวรรณภูมิ-ผลิต'!O15</f>
        <v>0</v>
      </c>
      <c r="N14" s="96"/>
      <c r="O14" s="96"/>
      <c r="P14" s="130"/>
      <c r="Q14" s="131"/>
      <c r="R14" s="50"/>
      <c r="S14" s="51"/>
      <c r="T14" s="52"/>
      <c r="U14" s="50"/>
      <c r="V14" s="51"/>
      <c r="W14" s="52"/>
      <c r="X14" s="50"/>
      <c r="Y14" s="51"/>
      <c r="Z14" s="52"/>
      <c r="AA14" s="50"/>
      <c r="AB14" s="51"/>
      <c r="AC14" s="52"/>
      <c r="AD14" s="50"/>
      <c r="AE14" s="51"/>
      <c r="AF14" s="52"/>
      <c r="AG14" s="50"/>
      <c r="AH14" s="51"/>
      <c r="AI14" s="52"/>
      <c r="AJ14" s="50"/>
      <c r="AK14" s="51"/>
      <c r="AL14" s="52"/>
      <c r="AM14" s="50"/>
      <c r="AN14" s="51"/>
      <c r="AO14" s="52"/>
      <c r="AP14" s="50"/>
      <c r="AQ14" s="51"/>
      <c r="AR14" s="52"/>
      <c r="AS14" s="50"/>
      <c r="AT14" s="51"/>
      <c r="AU14" s="52"/>
    </row>
    <row r="15" spans="1:47" ht="22.5" customHeight="1">
      <c r="A15" s="132" t="s">
        <v>62</v>
      </c>
      <c r="B15" s="96">
        <v>32</v>
      </c>
      <c r="C15" s="96" cm="1">
        <f t="array" ref="C15">SUMPRODUCT(ROUNDUP(D15:M15/B15, 0))</f>
        <v>12</v>
      </c>
      <c r="D15" s="96">
        <f>'สุวรรณภูมิ-ผลิต'!F17</f>
        <v>60</v>
      </c>
      <c r="E15" s="96">
        <f>'สุวรรณภูมิ-ผลิต'!G17</f>
        <v>34</v>
      </c>
      <c r="F15" s="96">
        <f>'สุวรรณภูมิ-ผลิต'!H17</f>
        <v>22</v>
      </c>
      <c r="G15" s="96">
        <f>'สุวรรณภูมิ-ผลิต'!I17</f>
        <v>38</v>
      </c>
      <c r="H15" s="96">
        <f>'สุวรรณภูมิ-ผลิต'!J17</f>
        <v>24</v>
      </c>
      <c r="I15" s="96">
        <f>'สุวรรณภูมิ-ผลิต'!K17</f>
        <v>9</v>
      </c>
      <c r="J15" s="96">
        <f>'สุวรรณภูมิ-ผลิต'!L17</f>
        <v>20</v>
      </c>
      <c r="K15" s="96">
        <f>'สุวรรณภูมิ-ผลิต'!M17</f>
        <v>43</v>
      </c>
      <c r="L15" s="96">
        <f>'สุวรรณภูมิ-ผลิต'!N17</f>
        <v>0</v>
      </c>
      <c r="M15" s="96">
        <f>'สุวรรณภูมิ-ผลิต'!O17</f>
        <v>0</v>
      </c>
      <c r="N15" s="96" t="str">
        <f t="shared" si="3"/>
        <v>7 full, 1 more than half</v>
      </c>
      <c r="O15" s="96"/>
      <c r="P15" s="130"/>
      <c r="Q15" s="131"/>
      <c r="R15" s="50">
        <f t="shared" si="4"/>
        <v>1</v>
      </c>
      <c r="S15" s="51">
        <f t="shared" si="5"/>
        <v>1</v>
      </c>
      <c r="T15" s="52">
        <f t="shared" si="6"/>
        <v>0</v>
      </c>
      <c r="U15" s="50">
        <f t="shared" si="7"/>
        <v>1</v>
      </c>
      <c r="V15" s="51">
        <f t="shared" si="8"/>
        <v>0</v>
      </c>
      <c r="W15" s="52">
        <f t="shared" si="9"/>
        <v>1</v>
      </c>
      <c r="X15" s="50">
        <f t="shared" si="0"/>
        <v>0</v>
      </c>
      <c r="Y15" s="51">
        <f t="shared" si="1"/>
        <v>1</v>
      </c>
      <c r="Z15" s="52">
        <f t="shared" si="2"/>
        <v>0</v>
      </c>
      <c r="AA15" s="50">
        <f t="shared" si="10"/>
        <v>1</v>
      </c>
      <c r="AB15" s="51">
        <f t="shared" si="11"/>
        <v>0</v>
      </c>
      <c r="AC15" s="52">
        <f t="shared" si="12"/>
        <v>1</v>
      </c>
      <c r="AD15" s="50">
        <f t="shared" si="13"/>
        <v>0</v>
      </c>
      <c r="AE15" s="51">
        <f t="shared" si="14"/>
        <v>1</v>
      </c>
      <c r="AF15" s="52">
        <f t="shared" si="15"/>
        <v>0</v>
      </c>
      <c r="AG15" s="50">
        <f t="shared" si="16"/>
        <v>0</v>
      </c>
      <c r="AH15" s="51">
        <f t="shared" si="17"/>
        <v>0</v>
      </c>
      <c r="AI15" s="52">
        <f t="shared" si="18"/>
        <v>1</v>
      </c>
      <c r="AJ15" s="50">
        <f t="shared" si="19"/>
        <v>0</v>
      </c>
      <c r="AK15" s="51">
        <f t="shared" si="20"/>
        <v>1</v>
      </c>
      <c r="AL15" s="52">
        <f t="shared" si="21"/>
        <v>0</v>
      </c>
      <c r="AM15" s="50">
        <f t="shared" si="22"/>
        <v>1</v>
      </c>
      <c r="AN15" s="51">
        <f t="shared" si="23"/>
        <v>0</v>
      </c>
      <c r="AO15" s="52">
        <f t="shared" si="24"/>
        <v>1</v>
      </c>
      <c r="AP15" s="50">
        <f t="shared" si="25"/>
        <v>0</v>
      </c>
      <c r="AQ15" s="51">
        <f t="shared" si="26"/>
        <v>0</v>
      </c>
      <c r="AR15" s="52">
        <f t="shared" si="27"/>
        <v>0</v>
      </c>
      <c r="AS15" s="50">
        <f t="shared" si="28"/>
        <v>0</v>
      </c>
      <c r="AT15" s="51">
        <f t="shared" si="29"/>
        <v>0</v>
      </c>
      <c r="AU15" s="52">
        <f t="shared" si="30"/>
        <v>0</v>
      </c>
    </row>
    <row r="16" spans="1:47" ht="22.5" customHeight="1">
      <c r="A16" s="95" t="s">
        <v>143</v>
      </c>
      <c r="B16" s="96">
        <v>27</v>
      </c>
      <c r="C16" s="96" cm="1">
        <f t="array" ref="C16">SUMPRODUCT(ROUNDUP(D16:M16/B16, 0))</f>
        <v>17</v>
      </c>
      <c r="D16" s="96">
        <f>'สุวรรณภูมิ-ผลิต'!F19</f>
        <v>92</v>
      </c>
      <c r="E16" s="96">
        <f>'สุวรรณภูมิ-ผลิต'!G19</f>
        <v>34</v>
      </c>
      <c r="F16" s="96">
        <f>'สุวรรณภูมิ-ผลิต'!H19</f>
        <v>35</v>
      </c>
      <c r="G16" s="96">
        <f>'สุวรรณภูมิ-ผลิต'!I19</f>
        <v>34</v>
      </c>
      <c r="H16" s="96">
        <f>'สุวรรณภูมิ-ผลิต'!J19</f>
        <v>34</v>
      </c>
      <c r="I16" s="96">
        <f>'สุวรรณภูมิ-ผลิต'!K19</f>
        <v>30</v>
      </c>
      <c r="J16" s="96">
        <f>'สุวรรณภูมิ-ผลิต'!L19</f>
        <v>32</v>
      </c>
      <c r="K16" s="96">
        <f>'สุวรรณภูมิ-ผลิต'!M19</f>
        <v>27</v>
      </c>
      <c r="L16" s="96">
        <f>'สุวรรณภูมิ-ผลิต'!N19</f>
        <v>0</v>
      </c>
      <c r="M16" s="96">
        <f>'สุวรรณภูมิ-ผลิต'!O19</f>
        <v>0</v>
      </c>
      <c r="N16" s="96"/>
      <c r="O16" s="96"/>
      <c r="P16" s="130"/>
      <c r="Q16" s="131"/>
      <c r="R16" s="50"/>
      <c r="S16" s="51"/>
      <c r="T16" s="52"/>
      <c r="U16" s="50"/>
      <c r="V16" s="51"/>
      <c r="W16" s="52"/>
      <c r="X16" s="50"/>
      <c r="Y16" s="51"/>
      <c r="Z16" s="52"/>
      <c r="AA16" s="50"/>
      <c r="AB16" s="51"/>
      <c r="AC16" s="52"/>
      <c r="AD16" s="50"/>
      <c r="AE16" s="51"/>
      <c r="AF16" s="52"/>
      <c r="AG16" s="50"/>
      <c r="AH16" s="51"/>
      <c r="AI16" s="52"/>
      <c r="AJ16" s="50"/>
      <c r="AK16" s="51"/>
      <c r="AL16" s="52"/>
      <c r="AM16" s="50"/>
      <c r="AN16" s="51"/>
      <c r="AO16" s="52"/>
      <c r="AP16" s="50"/>
      <c r="AQ16" s="51"/>
      <c r="AR16" s="52"/>
      <c r="AS16" s="50"/>
      <c r="AT16" s="51"/>
      <c r="AU16" s="52"/>
    </row>
    <row r="17" spans="1:47" ht="22.5" customHeight="1">
      <c r="A17" s="97" t="s">
        <v>149</v>
      </c>
      <c r="B17" s="96">
        <v>27</v>
      </c>
      <c r="C17" s="96" cm="1">
        <f t="array" ref="C17">SUMPRODUCT(ROUNDUP(D17:M17/B17, 0))</f>
        <v>10</v>
      </c>
      <c r="D17" s="96">
        <f>'สุวรรณภูมิ-ผลิต'!F21</f>
        <v>30</v>
      </c>
      <c r="E17" s="96">
        <f>'สุวรรณภูมิ-ผลิต'!G21</f>
        <v>14</v>
      </c>
      <c r="F17" s="96">
        <f>'สุวรรณภูมิ-ผลิต'!H21</f>
        <v>22</v>
      </c>
      <c r="G17" s="96">
        <f>'สุวรรณภูมิ-ผลิต'!I21</f>
        <v>38</v>
      </c>
      <c r="H17" s="96">
        <f>'สุวรรณภูมิ-ผลิต'!J21</f>
        <v>23</v>
      </c>
      <c r="I17" s="96">
        <f>'สุวรรณภูมิ-ผลิต'!K21</f>
        <v>13</v>
      </c>
      <c r="J17" s="96">
        <f>'สุวรรณภูมิ-ผลิต'!L21</f>
        <v>20</v>
      </c>
      <c r="K17" s="96">
        <f>'สุวรรณภูมิ-ผลิต'!M21</f>
        <v>19</v>
      </c>
      <c r="L17" s="96">
        <f>'สุวรรณภูมิ-ผลิต'!N21</f>
        <v>0</v>
      </c>
      <c r="M17" s="96">
        <f>'สุวรรณภูมิ-ผลิต'!O21</f>
        <v>0</v>
      </c>
      <c r="N17" s="96"/>
      <c r="O17" s="96"/>
      <c r="P17" s="92"/>
      <c r="Q17" s="49"/>
      <c r="R17" s="50"/>
      <c r="S17" s="51"/>
      <c r="T17" s="52"/>
      <c r="U17" s="50"/>
      <c r="V17" s="51"/>
      <c r="W17" s="52"/>
      <c r="X17" s="50"/>
      <c r="Y17" s="51"/>
      <c r="Z17" s="52"/>
      <c r="AA17" s="50"/>
      <c r="AB17" s="51"/>
      <c r="AC17" s="52"/>
      <c r="AD17" s="50"/>
      <c r="AE17" s="51"/>
      <c r="AF17" s="52"/>
      <c r="AG17" s="50"/>
      <c r="AH17" s="51"/>
      <c r="AI17" s="52"/>
      <c r="AJ17" s="50"/>
      <c r="AK17" s="51"/>
      <c r="AL17" s="52"/>
      <c r="AM17" s="50"/>
      <c r="AN17" s="51"/>
      <c r="AO17" s="52"/>
      <c r="AP17" s="50"/>
      <c r="AQ17" s="51"/>
      <c r="AR17" s="52"/>
      <c r="AS17" s="50"/>
      <c r="AT17" s="51"/>
      <c r="AU17" s="52"/>
    </row>
    <row r="18" spans="1:47" ht="22.5" customHeight="1">
      <c r="A18" s="98" t="s">
        <v>63</v>
      </c>
      <c r="B18" s="96">
        <v>36</v>
      </c>
      <c r="C18" s="96" cm="1">
        <f t="array" ref="C18">SUMPRODUCT(ROUNDUP(D18:M18/B18, 0))</f>
        <v>14</v>
      </c>
      <c r="D18" s="96">
        <f>'สุวรรณภูมิ-ผลิต'!F23</f>
        <v>99</v>
      </c>
      <c r="E18" s="96">
        <f>'สุวรรณภูมิ-ผลิต'!G23</f>
        <v>21</v>
      </c>
      <c r="F18" s="96">
        <f>'สุวรรณภูมิ-ผลิต'!H23</f>
        <v>20</v>
      </c>
      <c r="G18" s="96">
        <f>'สุวรรณภูมิ-ผลิต'!I23</f>
        <v>53</v>
      </c>
      <c r="H18" s="96">
        <f>'สุวรรณภูมิ-ผลิต'!J23</f>
        <v>27</v>
      </c>
      <c r="I18" s="96">
        <f>'สุวรรณภูมิ-ผลิต'!K23</f>
        <v>27</v>
      </c>
      <c r="J18" s="96">
        <f>'สุวรรณภูมิ-ผลิต'!L23</f>
        <v>43</v>
      </c>
      <c r="K18" s="96">
        <f>'สุวรรณภูมิ-ผลิต'!M23</f>
        <v>82</v>
      </c>
      <c r="L18" s="96">
        <f>'สุวรรณภูมิ-ผลิต'!N23</f>
        <v>0</v>
      </c>
      <c r="M18" s="96">
        <f>'สุวรรณภูมิ-ผลิต'!O23</f>
        <v>0</v>
      </c>
      <c r="N18" s="96" t="str">
        <f t="shared" si="3"/>
        <v>10 full, 1 less than half</v>
      </c>
      <c r="O18" s="96"/>
      <c r="P18" s="92"/>
      <c r="Q18" s="49"/>
      <c r="R18" s="50">
        <f t="shared" si="4"/>
        <v>2</v>
      </c>
      <c r="S18" s="51">
        <f t="shared" si="5"/>
        <v>1</v>
      </c>
      <c r="T18" s="52">
        <f t="shared" si="6"/>
        <v>0</v>
      </c>
      <c r="U18" s="50">
        <f t="shared" si="7"/>
        <v>0</v>
      </c>
      <c r="V18" s="51">
        <f t="shared" si="8"/>
        <v>1</v>
      </c>
      <c r="W18" s="52">
        <f t="shared" si="9"/>
        <v>0</v>
      </c>
      <c r="X18" s="50">
        <f t="shared" si="0"/>
        <v>0</v>
      </c>
      <c r="Y18" s="51">
        <f t="shared" si="1"/>
        <v>1</v>
      </c>
      <c r="Z18" s="52">
        <f t="shared" si="2"/>
        <v>0</v>
      </c>
      <c r="AA18" s="50">
        <f t="shared" si="10"/>
        <v>1</v>
      </c>
      <c r="AB18" s="51">
        <f t="shared" si="11"/>
        <v>0</v>
      </c>
      <c r="AC18" s="52">
        <f t="shared" si="12"/>
        <v>1</v>
      </c>
      <c r="AD18" s="50">
        <f t="shared" si="13"/>
        <v>0</v>
      </c>
      <c r="AE18" s="51">
        <f t="shared" si="14"/>
        <v>1</v>
      </c>
      <c r="AF18" s="52">
        <f t="shared" si="15"/>
        <v>0</v>
      </c>
      <c r="AG18" s="50">
        <f t="shared" si="16"/>
        <v>0</v>
      </c>
      <c r="AH18" s="51">
        <f t="shared" si="17"/>
        <v>1</v>
      </c>
      <c r="AI18" s="52">
        <f t="shared" si="18"/>
        <v>0</v>
      </c>
      <c r="AJ18" s="50">
        <f t="shared" si="19"/>
        <v>1</v>
      </c>
      <c r="AK18" s="51">
        <f t="shared" si="20"/>
        <v>0</v>
      </c>
      <c r="AL18" s="52">
        <f t="shared" si="21"/>
        <v>1</v>
      </c>
      <c r="AM18" s="50">
        <f t="shared" si="22"/>
        <v>2</v>
      </c>
      <c r="AN18" s="51">
        <f t="shared" si="23"/>
        <v>0</v>
      </c>
      <c r="AO18" s="52">
        <f t="shared" si="24"/>
        <v>1</v>
      </c>
      <c r="AP18" s="50">
        <f t="shared" si="25"/>
        <v>0</v>
      </c>
      <c r="AQ18" s="51">
        <f t="shared" si="26"/>
        <v>0</v>
      </c>
      <c r="AR18" s="52">
        <f t="shared" si="27"/>
        <v>0</v>
      </c>
      <c r="AS18" s="50">
        <f t="shared" si="28"/>
        <v>0</v>
      </c>
      <c r="AT18" s="51">
        <f t="shared" si="29"/>
        <v>0</v>
      </c>
      <c r="AU18" s="52">
        <f t="shared" si="30"/>
        <v>0</v>
      </c>
    </row>
    <row r="19" spans="1:47" ht="22.5" customHeight="1">
      <c r="A19" s="95" t="s">
        <v>118</v>
      </c>
      <c r="B19" s="96">
        <v>20</v>
      </c>
      <c r="C19" s="96" cm="1">
        <f t="array" ref="C19">SUMPRODUCT(ROUNDUP(D19:M19/B19, 0))</f>
        <v>12</v>
      </c>
      <c r="D19" s="96">
        <f>'สุวรรณภูมิ-ผลิต'!F25</f>
        <v>43</v>
      </c>
      <c r="E19" s="96">
        <f>'สุวรรณภูมิ-ผลิต'!G25</f>
        <v>14</v>
      </c>
      <c r="F19" s="96">
        <f>'สุวรรณภูมิ-ผลิต'!H25</f>
        <v>15</v>
      </c>
      <c r="G19" s="96">
        <f>'สุวรรณภูมิ-ผลิต'!I25</f>
        <v>22</v>
      </c>
      <c r="H19" s="96">
        <f>'สุวรรณภูมิ-ผลิต'!J25</f>
        <v>12</v>
      </c>
      <c r="I19" s="96">
        <f>'สุวรรณภูมิ-ผลิต'!K25</f>
        <v>13</v>
      </c>
      <c r="J19" s="96">
        <f>'สุวรรณภูมิ-ผลิต'!L25</f>
        <v>7</v>
      </c>
      <c r="K19" s="96">
        <f>'สุวรรณภูมิ-ผลิต'!M25</f>
        <v>34</v>
      </c>
      <c r="L19" s="96">
        <f>'สุวรรณภูมิ-ผลิต'!N25</f>
        <v>0</v>
      </c>
      <c r="M19" s="96">
        <f>'สุวรรณภูมิ-ผลิต'!O25</f>
        <v>0</v>
      </c>
      <c r="N19" s="96"/>
      <c r="O19" s="96"/>
      <c r="P19" s="92"/>
      <c r="Q19" s="49"/>
      <c r="R19" s="50"/>
      <c r="S19" s="51"/>
      <c r="T19" s="52"/>
      <c r="U19" s="50"/>
      <c r="V19" s="51"/>
      <c r="W19" s="52"/>
      <c r="X19" s="50"/>
      <c r="Y19" s="51"/>
      <c r="Z19" s="52"/>
      <c r="AA19" s="50"/>
      <c r="AB19" s="51"/>
      <c r="AC19" s="52"/>
      <c r="AD19" s="50"/>
      <c r="AE19" s="51"/>
      <c r="AF19" s="52"/>
      <c r="AG19" s="50"/>
      <c r="AH19" s="51"/>
      <c r="AI19" s="52"/>
      <c r="AJ19" s="50"/>
      <c r="AK19" s="51"/>
      <c r="AL19" s="52"/>
      <c r="AM19" s="50"/>
      <c r="AN19" s="51"/>
      <c r="AO19" s="52"/>
      <c r="AP19" s="50"/>
      <c r="AQ19" s="51"/>
      <c r="AR19" s="52"/>
      <c r="AS19" s="50"/>
      <c r="AT19" s="51"/>
      <c r="AU19" s="52"/>
    </row>
    <row r="20" spans="1:47" ht="22.5" customHeight="1">
      <c r="A20" s="95" t="s">
        <v>136</v>
      </c>
      <c r="B20" s="96">
        <v>15</v>
      </c>
      <c r="C20" s="96" cm="1">
        <f t="array" ref="C20">SUMPRODUCT(ROUNDUP(D20:M20/B20, 0))</f>
        <v>10</v>
      </c>
      <c r="D20" s="96">
        <f>'สุวรรณภูมิ-ผลิต'!F27</f>
        <v>36</v>
      </c>
      <c r="E20" s="96">
        <f>'สุวรรณภูมิ-ผลิต'!G27</f>
        <v>6</v>
      </c>
      <c r="F20" s="96">
        <f>'สุวรรณภูมิ-ผลิต'!H27</f>
        <v>7</v>
      </c>
      <c r="G20" s="96">
        <f>'สุวรรณภูมิ-ผลิต'!I27</f>
        <v>4</v>
      </c>
      <c r="H20" s="96">
        <f>'สุวรรณภูมิ-ผลิต'!J27</f>
        <v>2</v>
      </c>
      <c r="I20" s="96">
        <f>'สุวรรณภูมิ-ผลิต'!K27</f>
        <v>2</v>
      </c>
      <c r="J20" s="96">
        <f>'สุวรรณภูมิ-ผลิต'!L27</f>
        <v>12</v>
      </c>
      <c r="K20" s="96">
        <f>'สุวรรณภูมิ-ผลิต'!M27</f>
        <v>5</v>
      </c>
      <c r="L20" s="96">
        <f>'สุวรรณภูมิ-ผลิต'!N27</f>
        <v>0</v>
      </c>
      <c r="M20" s="96">
        <f>'สุวรรณภูมิ-ผลิต'!O27</f>
        <v>0</v>
      </c>
      <c r="N20" s="96">
        <f>'สุวรรณภูมิ-ผลิต'!P27</f>
        <v>74</v>
      </c>
      <c r="O20" s="96"/>
      <c r="P20" s="92"/>
      <c r="Q20" s="67"/>
      <c r="R20" s="50"/>
      <c r="S20" s="51"/>
      <c r="T20" s="52"/>
      <c r="U20" s="50"/>
      <c r="V20" s="51"/>
      <c r="W20" s="52"/>
      <c r="X20" s="50"/>
      <c r="Y20" s="51"/>
      <c r="Z20" s="52"/>
      <c r="AA20" s="50"/>
      <c r="AB20" s="51"/>
      <c r="AC20" s="52"/>
      <c r="AD20" s="50"/>
      <c r="AE20" s="51"/>
      <c r="AF20" s="52"/>
      <c r="AG20" s="50"/>
      <c r="AH20" s="51"/>
      <c r="AI20" s="52"/>
      <c r="AJ20" s="50"/>
      <c r="AK20" s="51"/>
      <c r="AL20" s="52"/>
      <c r="AM20" s="50"/>
      <c r="AN20" s="51"/>
      <c r="AO20" s="52"/>
      <c r="AP20" s="50"/>
      <c r="AQ20" s="51"/>
      <c r="AR20" s="52"/>
      <c r="AS20" s="50"/>
      <c r="AT20" s="51"/>
      <c r="AU20" s="52"/>
    </row>
    <row r="21" spans="1:47" ht="22.5" customHeight="1">
      <c r="A21" s="98" t="s">
        <v>65</v>
      </c>
      <c r="B21" s="96">
        <v>45</v>
      </c>
      <c r="C21" s="96" cm="1">
        <f t="array" ref="C21">SUMPRODUCT(ROUNDUP(D21:M21/B21, 0))</f>
        <v>7</v>
      </c>
      <c r="D21" s="96">
        <f>'สุวรรณภูมิ-ผลิต'!F29</f>
        <v>8</v>
      </c>
      <c r="E21" s="96">
        <f>'สุวรรณภูมิ-ผลิต'!G29</f>
        <v>1</v>
      </c>
      <c r="F21" s="96">
        <f>'สุวรรณภูมิ-ผลิต'!H29</f>
        <v>3</v>
      </c>
      <c r="G21" s="96">
        <f>'สุวรรณภูมิ-ผลิต'!I29</f>
        <v>0</v>
      </c>
      <c r="H21" s="96">
        <f>'สุวรรณภูมิ-ผลิต'!J29</f>
        <v>2</v>
      </c>
      <c r="I21" s="96">
        <f>'สุวรรณภูมิ-ผลิต'!K29</f>
        <v>1</v>
      </c>
      <c r="J21" s="96">
        <f>'สุวรรณภูมิ-ผลิต'!L29</f>
        <v>4</v>
      </c>
      <c r="K21" s="96">
        <f>'สุวรรณภูมิ-ผลิต'!M29</f>
        <v>5</v>
      </c>
      <c r="L21" s="96">
        <f>'สุวรรณภูมิ-ผลิต'!N29</f>
        <v>0</v>
      </c>
      <c r="M21" s="96">
        <f>'สุวรรณภูมิ-ผลิต'!O29</f>
        <v>0</v>
      </c>
      <c r="N21" s="96" t="e">
        <f>'สุวรรณภูมิ-ผลิต'!#REF!</f>
        <v>#REF!</v>
      </c>
      <c r="O21" s="96"/>
      <c r="P21" s="92"/>
      <c r="Q21" s="49"/>
      <c r="R21" s="50">
        <f t="shared" ref="R21:R23" si="31">INT(D21/B21)</f>
        <v>0</v>
      </c>
      <c r="S21" s="51">
        <f t="shared" ref="S21:S23" si="32">IF(MOD(D21,B21)/B21&gt;0.5,1,0)</f>
        <v>0</v>
      </c>
      <c r="T21" s="52">
        <f t="shared" ref="T21:T23" si="33">IF(AND(MOD(D21,B21)/B21&lt;=0.5,MOD(D21,B21)&lt;&gt;0),1,0)</f>
        <v>1</v>
      </c>
      <c r="U21" s="50">
        <f t="shared" ref="U21:U23" si="34">INT(E21/B21)</f>
        <v>0</v>
      </c>
      <c r="V21" s="51">
        <f t="shared" ref="V21:V23" si="35">IF(MOD(E21,B21)/B21&gt;0.5,1,0)</f>
        <v>0</v>
      </c>
      <c r="W21" s="52">
        <f t="shared" ref="W21:W23" si="36">IF(AND(MOD(E21,B21)/B21&lt;=0.5,MOD(E21,B21)&lt;&gt;0),1,0)</f>
        <v>1</v>
      </c>
      <c r="X21" s="50">
        <f t="shared" ref="X21:X23" si="37">INT(F21/B21)</f>
        <v>0</v>
      </c>
      <c r="Y21" s="51">
        <f t="shared" ref="Y21:Y23" si="38">IF(MOD(F21,B21)/B21&gt;0.5,1,0)</f>
        <v>0</v>
      </c>
      <c r="Z21" s="52">
        <f t="shared" ref="Z21:Z23" si="39">IF(AND(MOD(F21,B21)/B21&lt;=0.5,MOD(F21,B21)&lt;&gt;0),1,0)</f>
        <v>1</v>
      </c>
      <c r="AA21" s="50">
        <f t="shared" ref="AA21:AA23" si="40">INT(G21/B21)</f>
        <v>0</v>
      </c>
      <c r="AB21" s="51">
        <f t="shared" ref="AB21:AB23" si="41">IF(MOD(G21,B21)/B21&gt;0.5,1,0)</f>
        <v>0</v>
      </c>
      <c r="AC21" s="52">
        <f t="shared" ref="AC21:AC23" si="42">IF(AND(MOD(G21,B21)/B21&lt;=0.5,MOD(G21,B21)&lt;&gt;0),1,0)</f>
        <v>0</v>
      </c>
      <c r="AD21" s="50">
        <f t="shared" ref="AD21:AD23" si="43">INT(H21/B21)</f>
        <v>0</v>
      </c>
      <c r="AE21" s="51">
        <f t="shared" ref="AE21:AE23" si="44">IF(MOD(H21,B21)/B21&gt;0.5,1,0)</f>
        <v>0</v>
      </c>
      <c r="AF21" s="52">
        <f t="shared" ref="AF21:AF23" si="45">IF(AND(MOD(H21,B21)/B21&lt;=0.5,MOD(H21,B21)&lt;&gt;0),1,0)</f>
        <v>1</v>
      </c>
      <c r="AG21" s="50">
        <f t="shared" ref="AG21:AG23" si="46">INT(I21/B21)</f>
        <v>0</v>
      </c>
      <c r="AH21" s="51">
        <f t="shared" ref="AH21:AH23" si="47">IF(MOD(I21,B21)/B21&gt;0.5,1,0)</f>
        <v>0</v>
      </c>
      <c r="AI21" s="52">
        <f t="shared" ref="AI21:AI23" si="48">IF(AND(MOD(I21,B21)/B21&lt;=0.5,MOD(I21,B21)&lt;&gt;0),1,0)</f>
        <v>1</v>
      </c>
      <c r="AJ21" s="50">
        <f t="shared" ref="AJ21:AJ23" si="49">INT(J21/B21)</f>
        <v>0</v>
      </c>
      <c r="AK21" s="51">
        <f t="shared" ref="AK21:AK23" si="50">IF(MOD(J21,B21)/B21&gt;0.5,1,0)</f>
        <v>0</v>
      </c>
      <c r="AL21" s="52">
        <f t="shared" ref="AL21:AL23" si="51">IF(AND(MOD(J21,B21)/B21&lt;=0.5,MOD(J21,B21)&lt;&gt;0),1,0)</f>
        <v>1</v>
      </c>
      <c r="AM21" s="50">
        <f t="shared" ref="AM21:AM23" si="52">INT(K21/B21)</f>
        <v>0</v>
      </c>
      <c r="AN21" s="51">
        <f t="shared" ref="AN21:AN23" si="53">IF(MOD(K21,B21)/B21&gt;0.5,1,0)</f>
        <v>0</v>
      </c>
      <c r="AO21" s="52">
        <f t="shared" ref="AO21:AO23" si="54">IF(AND(MOD(K21,B21)/B21&lt;=0.5,MOD(K21,B21)&lt;&gt;0),1,0)</f>
        <v>1</v>
      </c>
      <c r="AP21" s="50">
        <f t="shared" ref="AP21:AP23" si="55">INT(L21/B21)</f>
        <v>0</v>
      </c>
      <c r="AQ21" s="51">
        <f t="shared" ref="AQ21:AQ23" si="56">IF(MOD(L21,B21)/B21&gt;0.5,1,0)</f>
        <v>0</v>
      </c>
      <c r="AR21" s="52">
        <f t="shared" ref="AR21:AR23" si="57">IF(AND(MOD(L21,B21)/B21&lt;=0.5,MOD(L21,B21)&lt;&gt;0),1,0)</f>
        <v>0</v>
      </c>
      <c r="AS21" s="50">
        <f t="shared" ref="AS21:AS23" si="58">INT(M21/B21)</f>
        <v>0</v>
      </c>
      <c r="AT21" s="51">
        <f t="shared" ref="AT21:AT23" si="59">IF(MOD(M21,B21)/B21&gt;0.5,1,0)</f>
        <v>0</v>
      </c>
      <c r="AU21" s="52">
        <f t="shared" ref="AU21:AU23" si="60">IF(AND(MOD(M21,B21)/B21&lt;=0.5,MOD(M21,B21)&lt;&gt;0),1,0)</f>
        <v>0</v>
      </c>
    </row>
    <row r="22" spans="1:47" ht="22.5" customHeight="1">
      <c r="A22" s="98" t="s">
        <v>141</v>
      </c>
      <c r="B22" s="96">
        <v>15</v>
      </c>
      <c r="C22" s="96" cm="1">
        <f t="array" ref="C22">SUMPRODUCT(ROUNDUP(D22:M22/B22, 0))</f>
        <v>11</v>
      </c>
      <c r="D22" s="96">
        <f>'สุวรรณภูมิ-ผลิต'!F31</f>
        <v>29</v>
      </c>
      <c r="E22" s="96">
        <f>'สุวรรณภูมิ-ผลิต'!G31</f>
        <v>10</v>
      </c>
      <c r="F22" s="96">
        <f>'สุวรรณภูมิ-ผลิต'!H31</f>
        <v>16</v>
      </c>
      <c r="G22" s="96">
        <f>'สุวรรณภูมิ-ผลิต'!I31</f>
        <v>14</v>
      </c>
      <c r="H22" s="96">
        <f>'สุวรรณภูมิ-ผลิต'!J31</f>
        <v>6</v>
      </c>
      <c r="I22" s="96">
        <f>'สุวรรณภูมิ-ผลิต'!K31</f>
        <v>4</v>
      </c>
      <c r="J22" s="96">
        <f>'สุวรรณภูมิ-ผลิต'!L31</f>
        <v>12</v>
      </c>
      <c r="K22" s="96">
        <f>'สุวรรณภูมิ-ผลิต'!M31</f>
        <v>30</v>
      </c>
      <c r="L22" s="96">
        <f>'สุวรรณภูมิ-ผลิต'!N31</f>
        <v>0</v>
      </c>
      <c r="M22" s="96">
        <f>'สุวรรณภูมิ-ผลิต'!O31</f>
        <v>0</v>
      </c>
      <c r="N22" s="96" t="e">
        <f>'สุวรรณภูมิ-ผลิต'!#REF!</f>
        <v>#REF!</v>
      </c>
      <c r="O22" s="96"/>
      <c r="P22" s="92"/>
      <c r="Q22" s="118"/>
      <c r="R22" s="50">
        <f t="shared" ref="R22" si="61">INT(D22/B22)</f>
        <v>1</v>
      </c>
      <c r="S22" s="51">
        <f t="shared" ref="S22" si="62">IF(MOD(D22,B22)/B22&gt;0.5,1,0)</f>
        <v>1</v>
      </c>
      <c r="T22" s="52">
        <f t="shared" ref="T22" si="63">IF(AND(MOD(D22,B22)/B22&lt;=0.5,MOD(D22,B22)&lt;&gt;0),1,0)</f>
        <v>0</v>
      </c>
      <c r="U22" s="50">
        <f t="shared" ref="U22" si="64">INT(E22/B22)</f>
        <v>0</v>
      </c>
      <c r="V22" s="51">
        <f t="shared" ref="V22" si="65">IF(MOD(E22,B22)/B22&gt;0.5,1,0)</f>
        <v>1</v>
      </c>
      <c r="W22" s="52">
        <f t="shared" ref="W22" si="66">IF(AND(MOD(E22,B22)/B22&lt;=0.5,MOD(E22,B22)&lt;&gt;0),1,0)</f>
        <v>0</v>
      </c>
      <c r="X22" s="50">
        <f t="shared" ref="X22" si="67">INT(F22/B22)</f>
        <v>1</v>
      </c>
      <c r="Y22" s="51">
        <f t="shared" ref="Y22" si="68">IF(MOD(F22,B22)/B22&gt;0.5,1,0)</f>
        <v>0</v>
      </c>
      <c r="Z22" s="52">
        <f t="shared" ref="Z22" si="69">IF(AND(MOD(F22,B22)/B22&lt;=0.5,MOD(F22,B22)&lt;&gt;0),1,0)</f>
        <v>1</v>
      </c>
      <c r="AA22" s="50">
        <f t="shared" ref="AA22" si="70">INT(G22/B22)</f>
        <v>0</v>
      </c>
      <c r="AB22" s="51">
        <f t="shared" ref="AB22" si="71">IF(MOD(G22,B22)/B22&gt;0.5,1,0)</f>
        <v>1</v>
      </c>
      <c r="AC22" s="52">
        <f t="shared" ref="AC22" si="72">IF(AND(MOD(G22,B22)/B22&lt;=0.5,MOD(G22,B22)&lt;&gt;0),1,0)</f>
        <v>0</v>
      </c>
      <c r="AD22" s="50">
        <f t="shared" ref="AD22" si="73">INT(H22/B22)</f>
        <v>0</v>
      </c>
      <c r="AE22" s="51">
        <f t="shared" ref="AE22" si="74">IF(MOD(H22,B22)/B22&gt;0.5,1,0)</f>
        <v>0</v>
      </c>
      <c r="AF22" s="52">
        <f t="shared" ref="AF22" si="75">IF(AND(MOD(H22,B22)/B22&lt;=0.5,MOD(H22,B22)&lt;&gt;0),1,0)</f>
        <v>1</v>
      </c>
      <c r="AG22" s="50">
        <f t="shared" ref="AG22" si="76">INT(I22/B22)</f>
        <v>0</v>
      </c>
      <c r="AH22" s="51">
        <f t="shared" ref="AH22" si="77">IF(MOD(I22,B22)/B22&gt;0.5,1,0)</f>
        <v>0</v>
      </c>
      <c r="AI22" s="52">
        <f t="shared" ref="AI22" si="78">IF(AND(MOD(I22,B22)/B22&lt;=0.5,MOD(I22,B22)&lt;&gt;0),1,0)</f>
        <v>1</v>
      </c>
      <c r="AJ22" s="50">
        <f t="shared" ref="AJ22" si="79">INT(J22/B22)</f>
        <v>0</v>
      </c>
      <c r="AK22" s="51">
        <f t="shared" ref="AK22" si="80">IF(MOD(J22,B22)/B22&gt;0.5,1,0)</f>
        <v>1</v>
      </c>
      <c r="AL22" s="52">
        <f t="shared" ref="AL22" si="81">IF(AND(MOD(J22,B22)/B22&lt;=0.5,MOD(J22,B22)&lt;&gt;0),1,0)</f>
        <v>0</v>
      </c>
      <c r="AM22" s="50">
        <f t="shared" ref="AM22" si="82">INT(K22/B22)</f>
        <v>2</v>
      </c>
      <c r="AN22" s="51">
        <f t="shared" ref="AN22" si="83">IF(MOD(K22,B22)/B22&gt;0.5,1,0)</f>
        <v>0</v>
      </c>
      <c r="AO22" s="52">
        <f t="shared" ref="AO22" si="84">IF(AND(MOD(K22,B22)/B22&lt;=0.5,MOD(K22,B22)&lt;&gt;0),1,0)</f>
        <v>0</v>
      </c>
      <c r="AP22" s="50">
        <f t="shared" ref="AP22" si="85">INT(L22/B22)</f>
        <v>0</v>
      </c>
      <c r="AQ22" s="51">
        <f t="shared" ref="AQ22" si="86">IF(MOD(L22,B22)/B22&gt;0.5,1,0)</f>
        <v>0</v>
      </c>
      <c r="AR22" s="52">
        <f t="shared" ref="AR22" si="87">IF(AND(MOD(L22,B22)/B22&lt;=0.5,MOD(L22,B22)&lt;&gt;0),1,0)</f>
        <v>0</v>
      </c>
      <c r="AS22" s="50">
        <f t="shared" ref="AS22" si="88">INT(M22/B22)</f>
        <v>0</v>
      </c>
      <c r="AT22" s="51">
        <f t="shared" ref="AT22" si="89">IF(MOD(M22,B22)/B22&gt;0.5,1,0)</f>
        <v>0</v>
      </c>
      <c r="AU22" s="52">
        <f t="shared" ref="AU22" si="90">IF(AND(MOD(M22,B22)/B22&lt;=0.5,MOD(M22,B22)&lt;&gt;0),1,0)</f>
        <v>0</v>
      </c>
    </row>
    <row r="23" spans="1:47" ht="22.5" customHeight="1">
      <c r="A23" s="98" t="s">
        <v>132</v>
      </c>
      <c r="B23" s="96">
        <v>15</v>
      </c>
      <c r="C23" s="96" cm="1">
        <f t="array" ref="C23">SUMPRODUCT(ROUNDUP(D23:M23/B23, 0))</f>
        <v>9</v>
      </c>
      <c r="D23" s="96">
        <f>'สุวรรณภูมิ-ผลิต'!F33</f>
        <v>17</v>
      </c>
      <c r="E23" s="96">
        <f>'สุวรรณภูมิ-ผลิต'!G33</f>
        <v>6</v>
      </c>
      <c r="F23" s="96">
        <f>'สุวรรณภูมิ-ผลิต'!H33</f>
        <v>5</v>
      </c>
      <c r="G23" s="96">
        <f>'สุวรรณภูมิ-ผลิต'!I33</f>
        <v>2</v>
      </c>
      <c r="H23" s="96">
        <f>'สุวรรณภูมิ-ผลิต'!J33</f>
        <v>3</v>
      </c>
      <c r="I23" s="96">
        <f>'สุวรรณภูมิ-ผลิต'!K33</f>
        <v>4</v>
      </c>
      <c r="J23" s="96">
        <f>'สุวรรณภูมิ-ผลิต'!L33</f>
        <v>5</v>
      </c>
      <c r="K23" s="96">
        <f>'สุวรรณภูมิ-ผลิต'!M33</f>
        <v>1</v>
      </c>
      <c r="L23" s="96">
        <f>'สุวรรณภูมิ-ผลิต'!N33</f>
        <v>0</v>
      </c>
      <c r="M23" s="96">
        <f>'สุวรรณภูมิ-ผลิต'!O33</f>
        <v>0</v>
      </c>
      <c r="N23" s="96" t="e">
        <f>'สุวรรณภูมิ-ผลิต'!#REF!</f>
        <v>#REF!</v>
      </c>
      <c r="O23" s="96"/>
      <c r="P23" s="92"/>
      <c r="Q23" s="49"/>
      <c r="R23" s="50">
        <f t="shared" si="31"/>
        <v>1</v>
      </c>
      <c r="S23" s="51">
        <f t="shared" si="32"/>
        <v>0</v>
      </c>
      <c r="T23" s="52">
        <f t="shared" si="33"/>
        <v>1</v>
      </c>
      <c r="U23" s="50">
        <f t="shared" si="34"/>
        <v>0</v>
      </c>
      <c r="V23" s="51">
        <f t="shared" si="35"/>
        <v>0</v>
      </c>
      <c r="W23" s="52">
        <f t="shared" si="36"/>
        <v>1</v>
      </c>
      <c r="X23" s="50">
        <f t="shared" si="37"/>
        <v>0</v>
      </c>
      <c r="Y23" s="51">
        <f t="shared" si="38"/>
        <v>0</v>
      </c>
      <c r="Z23" s="52">
        <f t="shared" si="39"/>
        <v>1</v>
      </c>
      <c r="AA23" s="50">
        <f t="shared" si="40"/>
        <v>0</v>
      </c>
      <c r="AB23" s="51">
        <f t="shared" si="41"/>
        <v>0</v>
      </c>
      <c r="AC23" s="52">
        <f t="shared" si="42"/>
        <v>1</v>
      </c>
      <c r="AD23" s="50">
        <f t="shared" si="43"/>
        <v>0</v>
      </c>
      <c r="AE23" s="51">
        <f t="shared" si="44"/>
        <v>0</v>
      </c>
      <c r="AF23" s="52">
        <f t="shared" si="45"/>
        <v>1</v>
      </c>
      <c r="AG23" s="50">
        <f t="shared" si="46"/>
        <v>0</v>
      </c>
      <c r="AH23" s="51">
        <f t="shared" si="47"/>
        <v>0</v>
      </c>
      <c r="AI23" s="52">
        <f t="shared" si="48"/>
        <v>1</v>
      </c>
      <c r="AJ23" s="50">
        <f t="shared" si="49"/>
        <v>0</v>
      </c>
      <c r="AK23" s="51">
        <f t="shared" si="50"/>
        <v>0</v>
      </c>
      <c r="AL23" s="52">
        <f t="shared" si="51"/>
        <v>1</v>
      </c>
      <c r="AM23" s="50">
        <f t="shared" si="52"/>
        <v>0</v>
      </c>
      <c r="AN23" s="51">
        <f t="shared" si="53"/>
        <v>0</v>
      </c>
      <c r="AO23" s="52">
        <f t="shared" si="54"/>
        <v>1</v>
      </c>
      <c r="AP23" s="50">
        <f t="shared" si="55"/>
        <v>0</v>
      </c>
      <c r="AQ23" s="51">
        <f t="shared" si="56"/>
        <v>0</v>
      </c>
      <c r="AR23" s="52">
        <f t="shared" si="57"/>
        <v>0</v>
      </c>
      <c r="AS23" s="50">
        <f t="shared" si="58"/>
        <v>0</v>
      </c>
      <c r="AT23" s="51">
        <f t="shared" si="59"/>
        <v>0</v>
      </c>
      <c r="AU23" s="52">
        <f t="shared" si="60"/>
        <v>0</v>
      </c>
    </row>
    <row r="24" spans="1:47" ht="22.5" customHeight="1">
      <c r="A24" s="98" t="s">
        <v>139</v>
      </c>
      <c r="B24" s="96">
        <v>27</v>
      </c>
      <c r="C24" s="96" cm="1">
        <f t="array" ref="C24">SUMPRODUCT(ROUNDUP(D24:M24/B24, 0))</f>
        <v>9</v>
      </c>
      <c r="D24" s="96">
        <f>'สุวรรณภูมิ-ผลิต'!F35</f>
        <v>41</v>
      </c>
      <c r="E24" s="96">
        <f>'สุวรรณภูมิ-ผลิต'!G35</f>
        <v>8</v>
      </c>
      <c r="F24" s="96">
        <f>'สุวรรณภูมิ-ผลิต'!H35</f>
        <v>10</v>
      </c>
      <c r="G24" s="96">
        <f>'สุวรรณภูมิ-ผลิต'!I35</f>
        <v>24</v>
      </c>
      <c r="H24" s="96">
        <f>'สุวรรณภูมิ-ผลิต'!J35</f>
        <v>6</v>
      </c>
      <c r="I24" s="96">
        <f>'สุวรรณภูมิ-ผลิต'!K35</f>
        <v>6</v>
      </c>
      <c r="J24" s="96">
        <f>'สุวรรณภูมิ-ผลิต'!L35</f>
        <v>14</v>
      </c>
      <c r="K24" s="96">
        <f>'สุวรรณภูมิ-ผลิต'!M35</f>
        <v>20</v>
      </c>
      <c r="L24" s="96">
        <f>'สุวรรณภูมิ-ผลิต'!N35</f>
        <v>0</v>
      </c>
      <c r="M24" s="96">
        <f>'สุวรรณภูมิ-ผลิต'!O35</f>
        <v>0</v>
      </c>
      <c r="N24" s="96"/>
      <c r="O24" s="96"/>
      <c r="P24" s="92"/>
      <c r="Q24" s="49"/>
      <c r="R24" s="50"/>
      <c r="S24" s="51"/>
      <c r="T24" s="52"/>
      <c r="U24" s="50"/>
      <c r="V24" s="51"/>
      <c r="W24" s="52"/>
      <c r="X24" s="50"/>
      <c r="Y24" s="51"/>
      <c r="Z24" s="52"/>
      <c r="AA24" s="50"/>
      <c r="AB24" s="51"/>
      <c r="AC24" s="52"/>
      <c r="AD24" s="50"/>
      <c r="AE24" s="51"/>
      <c r="AF24" s="52"/>
      <c r="AG24" s="50"/>
      <c r="AH24" s="51"/>
      <c r="AI24" s="52"/>
      <c r="AJ24" s="50"/>
      <c r="AK24" s="51"/>
      <c r="AL24" s="52"/>
      <c r="AM24" s="50"/>
      <c r="AN24" s="51"/>
      <c r="AO24" s="52"/>
      <c r="AP24" s="50"/>
      <c r="AQ24" s="51"/>
      <c r="AR24" s="52"/>
      <c r="AS24" s="50"/>
      <c r="AT24" s="51"/>
      <c r="AU24" s="52"/>
    </row>
    <row r="25" spans="1:47" ht="22.5" customHeight="1">
      <c r="A25" s="98" t="s">
        <v>67</v>
      </c>
      <c r="B25" s="96">
        <v>20</v>
      </c>
      <c r="C25" s="96" cm="1">
        <f t="array" ref="C25">SUMPRODUCT(ROUNDUP(D25:M25/B25, 0))</f>
        <v>17</v>
      </c>
      <c r="D25" s="96">
        <f>'สุวรรณภูมิ-ผลิต'!F37</f>
        <v>73</v>
      </c>
      <c r="E25" s="96">
        <f>'สุวรรณภูมิ-ผลิต'!G37</f>
        <v>22</v>
      </c>
      <c r="F25" s="96">
        <f>'สุวรรณภูมิ-ผลิต'!H37</f>
        <v>29</v>
      </c>
      <c r="G25" s="96">
        <f>'สุวรรณภูมิ-ผลิต'!I37</f>
        <v>32</v>
      </c>
      <c r="H25" s="96">
        <f>'สุวรรณภูมิ-ผลิต'!J37</f>
        <v>23</v>
      </c>
      <c r="I25" s="96">
        <f>'สุวรรณภูมิ-ผลิต'!K37</f>
        <v>10</v>
      </c>
      <c r="J25" s="96">
        <f>'สุวรรณภูมิ-ผลิต'!L37</f>
        <v>24</v>
      </c>
      <c r="K25" s="96">
        <f>'สุวรรณภูมิ-ผลิต'!M37</f>
        <v>31</v>
      </c>
      <c r="L25" s="96">
        <f>'สุวรรณภูมิ-ผลิต'!N37</f>
        <v>0</v>
      </c>
      <c r="M25" s="96">
        <f>'สุวรรณภูมิ-ผลิต'!O37</f>
        <v>0</v>
      </c>
      <c r="N25" s="96"/>
      <c r="O25" s="96"/>
      <c r="P25" s="92"/>
      <c r="Q25" s="76"/>
      <c r="R25" s="50"/>
      <c r="S25" s="51"/>
      <c r="T25" s="52"/>
      <c r="U25" s="50"/>
      <c r="V25" s="51"/>
      <c r="W25" s="52"/>
      <c r="X25" s="50"/>
      <c r="Y25" s="51"/>
      <c r="Z25" s="52"/>
      <c r="AA25" s="50"/>
      <c r="AB25" s="51"/>
      <c r="AC25" s="52"/>
      <c r="AD25" s="50"/>
      <c r="AE25" s="51"/>
      <c r="AF25" s="52"/>
      <c r="AG25" s="50"/>
      <c r="AH25" s="51"/>
      <c r="AI25" s="52"/>
      <c r="AJ25" s="50"/>
      <c r="AK25" s="51"/>
      <c r="AL25" s="52"/>
      <c r="AM25" s="50"/>
      <c r="AN25" s="51"/>
      <c r="AO25" s="52"/>
      <c r="AP25" s="50"/>
      <c r="AQ25" s="51"/>
      <c r="AR25" s="52"/>
      <c r="AS25" s="50"/>
      <c r="AT25" s="51"/>
      <c r="AU25" s="52"/>
    </row>
    <row r="26" spans="1:47" ht="22.5" customHeight="1">
      <c r="A26" s="97" t="s">
        <v>68</v>
      </c>
      <c r="B26" s="96">
        <v>32</v>
      </c>
      <c r="C26" s="96" cm="1">
        <f t="array" ref="C26">SUMPRODUCT(ROUNDUP(D26:M26/B26, 0))</f>
        <v>9</v>
      </c>
      <c r="D26" s="96">
        <f>'สุวรรณภูมิ-ผลิต'!F39</f>
        <v>53</v>
      </c>
      <c r="E26" s="96">
        <f>'สุวรรณภูมิ-ผลิต'!G39</f>
        <v>15</v>
      </c>
      <c r="F26" s="96">
        <f>'สุวรรณภูมิ-ผลิต'!H39</f>
        <v>7</v>
      </c>
      <c r="G26" s="96">
        <f>'สุวรรณภูมิ-ผลิต'!I39</f>
        <v>11</v>
      </c>
      <c r="H26" s="96">
        <f>'สุวรรณภูมิ-ผลิต'!J39</f>
        <v>1</v>
      </c>
      <c r="I26" s="96">
        <f>'สุวรรณภูมิ-ผลิต'!K39</f>
        <v>2</v>
      </c>
      <c r="J26" s="96">
        <f>'สุวรรณภูมิ-ผลิต'!L39</f>
        <v>6</v>
      </c>
      <c r="K26" s="96">
        <f>'สุวรรณภูมิ-ผลิต'!M39</f>
        <v>15</v>
      </c>
      <c r="L26" s="96">
        <f>'สุวรรณภูมิ-ผลิต'!N39</f>
        <v>0</v>
      </c>
      <c r="M26" s="96">
        <f>'สุวรรณภูมิ-ผลิต'!O39</f>
        <v>0</v>
      </c>
      <c r="N26" s="96"/>
      <c r="O26" s="96"/>
      <c r="P26" s="92"/>
      <c r="Q26" s="103"/>
      <c r="R26" s="50"/>
      <c r="S26" s="51"/>
      <c r="T26" s="52"/>
      <c r="U26" s="50"/>
      <c r="V26" s="51"/>
      <c r="W26" s="52"/>
      <c r="X26" s="50"/>
      <c r="Y26" s="51"/>
      <c r="Z26" s="52"/>
      <c r="AA26" s="50"/>
      <c r="AB26" s="51"/>
      <c r="AC26" s="52"/>
      <c r="AD26" s="50"/>
      <c r="AE26" s="51"/>
      <c r="AF26" s="52"/>
      <c r="AG26" s="50"/>
      <c r="AH26" s="51"/>
      <c r="AI26" s="52"/>
      <c r="AJ26" s="50"/>
      <c r="AK26" s="51"/>
      <c r="AL26" s="52"/>
      <c r="AM26" s="50"/>
      <c r="AN26" s="51"/>
      <c r="AO26" s="52"/>
      <c r="AP26" s="50"/>
      <c r="AQ26" s="51"/>
      <c r="AR26" s="52"/>
      <c r="AS26" s="50"/>
      <c r="AT26" s="51"/>
      <c r="AU26" s="52"/>
    </row>
    <row r="27" spans="1:47" ht="23.25">
      <c r="A27" s="95" t="s">
        <v>117</v>
      </c>
      <c r="B27" s="96">
        <v>15</v>
      </c>
      <c r="C27" s="96" cm="1">
        <f t="array" ref="C27">SUMPRODUCT(ROUNDUP(D27:M27/B27, 0))</f>
        <v>7</v>
      </c>
      <c r="D27" s="96">
        <f>'สุวรรณภูมิ-ผลิต'!F41</f>
        <v>18</v>
      </c>
      <c r="E27" s="96">
        <f>'สุวรรณภูมิ-ผลิต'!G41</f>
        <v>6</v>
      </c>
      <c r="F27" s="96">
        <f>'สุวรรณภูมิ-ผลิต'!H41</f>
        <v>4</v>
      </c>
      <c r="G27" s="96">
        <f>'สุวรรณภูมิ-ผลิต'!I41</f>
        <v>8</v>
      </c>
      <c r="H27" s="96">
        <f>'สุวรรณภูมิ-ผลิต'!J41</f>
        <v>0</v>
      </c>
      <c r="I27" s="96">
        <f>'สุวรรณภูมิ-ผลิต'!K41</f>
        <v>0</v>
      </c>
      <c r="J27" s="96">
        <f>'สุวรรณภูมิ-ผลิต'!L41</f>
        <v>13</v>
      </c>
      <c r="K27" s="96">
        <f>'สุวรรณภูมิ-ผลิต'!M41</f>
        <v>11</v>
      </c>
      <c r="L27" s="96">
        <f>'สุวรรณภูมิ-ผลิต'!N41</f>
        <v>0</v>
      </c>
      <c r="M27" s="96">
        <f>'สุวรรณภูมิ-ผลิต'!O41</f>
        <v>0</v>
      </c>
      <c r="N27" s="96">
        <f>'สุวรรณภูมิ-ผลิต'!P41</f>
        <v>60</v>
      </c>
      <c r="O27" s="96"/>
      <c r="P27" s="92"/>
      <c r="Q27" s="117"/>
      <c r="R27" s="50"/>
      <c r="S27" s="51"/>
      <c r="T27" s="52"/>
      <c r="U27" s="50"/>
      <c r="V27" s="51"/>
      <c r="W27" s="52"/>
      <c r="X27" s="50"/>
      <c r="Y27" s="51"/>
      <c r="Z27" s="52"/>
      <c r="AA27" s="50"/>
      <c r="AB27" s="51"/>
      <c r="AC27" s="52"/>
      <c r="AD27" s="50"/>
      <c r="AE27" s="51"/>
      <c r="AF27" s="52"/>
      <c r="AG27" s="50"/>
      <c r="AH27" s="51"/>
      <c r="AI27" s="52"/>
      <c r="AJ27" s="50"/>
      <c r="AK27" s="51"/>
      <c r="AL27" s="52"/>
      <c r="AM27" s="50"/>
      <c r="AN27" s="51"/>
      <c r="AO27" s="52"/>
      <c r="AP27" s="50"/>
      <c r="AQ27" s="51"/>
      <c r="AR27" s="52"/>
      <c r="AS27" s="50"/>
      <c r="AT27" s="51"/>
      <c r="AU27" s="52"/>
    </row>
    <row r="28" spans="1:47" ht="23.25">
      <c r="A28" s="95" t="s">
        <v>153</v>
      </c>
      <c r="B28" s="96">
        <v>8</v>
      </c>
      <c r="C28" s="96" cm="1">
        <f t="array" ref="C28">SUMPRODUCT(ROUNDUP(D28:M28/B28, 0))</f>
        <v>20</v>
      </c>
      <c r="D28" s="96">
        <f>'สุวรรณภูมิ-ผลิต'!F43</f>
        <v>24</v>
      </c>
      <c r="E28" s="96">
        <f>'สุวรรณภูมิ-ผลิต'!G43</f>
        <v>17</v>
      </c>
      <c r="F28" s="96">
        <f>'สุวรรณภูมิ-ผลิต'!H43</f>
        <v>12</v>
      </c>
      <c r="G28" s="96">
        <f>'สุวรรณภูมิ-ผลิต'!I43</f>
        <v>11</v>
      </c>
      <c r="H28" s="96">
        <f>'สุวรรณภูมิ-ผลิต'!J43</f>
        <v>25</v>
      </c>
      <c r="I28" s="96">
        <f>'สุวรรณภูมิ-ผลิต'!K43</f>
        <v>13</v>
      </c>
      <c r="J28" s="96">
        <f>'สุวรรณภูมิ-ผลิต'!L43</f>
        <v>7</v>
      </c>
      <c r="K28" s="96">
        <f>'สุวรรณภูมิ-ผลิต'!M43</f>
        <v>17</v>
      </c>
      <c r="L28" s="96">
        <f>'สุวรรณภูมิ-ผลิต'!N43</f>
        <v>0</v>
      </c>
      <c r="M28" s="96">
        <f>'สุวรรณภูมิ-ผลิต'!O43</f>
        <v>0</v>
      </c>
      <c r="N28" s="96"/>
      <c r="O28" s="96"/>
      <c r="P28" s="92"/>
      <c r="Q28" s="129"/>
      <c r="R28" s="50"/>
      <c r="S28" s="51"/>
      <c r="T28" s="52"/>
      <c r="U28" s="50"/>
      <c r="V28" s="51"/>
      <c r="W28" s="52"/>
      <c r="X28" s="50"/>
      <c r="Y28" s="51"/>
      <c r="Z28" s="52"/>
      <c r="AA28" s="50"/>
      <c r="AB28" s="51"/>
      <c r="AC28" s="52"/>
      <c r="AD28" s="50"/>
      <c r="AE28" s="51"/>
      <c r="AF28" s="52"/>
      <c r="AG28" s="50"/>
      <c r="AH28" s="51"/>
      <c r="AI28" s="52"/>
      <c r="AJ28" s="50"/>
      <c r="AK28" s="51"/>
      <c r="AL28" s="52"/>
      <c r="AM28" s="50"/>
      <c r="AN28" s="51"/>
      <c r="AO28" s="52"/>
      <c r="AP28" s="50"/>
      <c r="AQ28" s="51"/>
      <c r="AR28" s="52"/>
      <c r="AS28" s="50"/>
      <c r="AT28" s="51"/>
      <c r="AU28" s="52"/>
    </row>
    <row r="29" spans="1:47" ht="24" customHeight="1">
      <c r="A29" s="224" t="s">
        <v>40</v>
      </c>
      <c r="B29" s="224"/>
      <c r="C29" s="115">
        <f>SUM(C10:C28)</f>
        <v>238</v>
      </c>
      <c r="D29" s="116">
        <f>SUM(D30:D32)*-1</f>
        <v>-18</v>
      </c>
      <c r="E29" s="116">
        <f t="shared" ref="E29:M29" si="91">SUM(E30:E32)*-1</f>
        <v>-10</v>
      </c>
      <c r="F29" s="116">
        <f t="shared" si="91"/>
        <v>-10</v>
      </c>
      <c r="G29" s="116">
        <f t="shared" si="91"/>
        <v>-11</v>
      </c>
      <c r="H29" s="116">
        <f t="shared" si="91"/>
        <v>-9</v>
      </c>
      <c r="I29" s="116">
        <f t="shared" si="91"/>
        <v>-8</v>
      </c>
      <c r="J29" s="116">
        <f t="shared" si="91"/>
        <v>-11</v>
      </c>
      <c r="K29" s="116">
        <f t="shared" si="91"/>
        <v>-14</v>
      </c>
      <c r="L29" s="116">
        <f t="shared" si="91"/>
        <v>0</v>
      </c>
      <c r="M29" s="114">
        <f t="shared" si="91"/>
        <v>0</v>
      </c>
      <c r="N29" s="93"/>
      <c r="O29" s="94"/>
      <c r="P29" s="49"/>
      <c r="Q29" s="49"/>
    </row>
    <row r="30" spans="1:47" ht="21" customHeight="1">
      <c r="A30" s="218" t="s">
        <v>41</v>
      </c>
      <c r="B30" s="218"/>
      <c r="C30" s="218"/>
      <c r="D30" s="94">
        <f>SUM(R10:R24)</f>
        <v>10</v>
      </c>
      <c r="E30" s="94">
        <f>SUM(U10:U24)</f>
        <v>2</v>
      </c>
      <c r="F30" s="94">
        <f>SUM(X10:X24)</f>
        <v>2</v>
      </c>
      <c r="G30" s="94">
        <f>SUM(AA10:AA24)</f>
        <v>4</v>
      </c>
      <c r="H30" s="94">
        <f>SUM(AD10:AD24)</f>
        <v>1</v>
      </c>
      <c r="I30" s="94">
        <f>SUM(AG10:AG24)</f>
        <v>0</v>
      </c>
      <c r="J30" s="94">
        <f>SUM(AJ10:AJ24)</f>
        <v>3</v>
      </c>
      <c r="K30" s="94">
        <f>SUM(AM10:AM24)</f>
        <v>7</v>
      </c>
      <c r="L30" s="94">
        <f>SUM(AP10:AP24)</f>
        <v>0</v>
      </c>
      <c r="M30" s="49">
        <f>SUM(AS10:AS24)</f>
        <v>0</v>
      </c>
      <c r="N30" s="49"/>
      <c r="O30" s="49"/>
      <c r="P30" s="49"/>
      <c r="Q30" s="49"/>
    </row>
    <row r="31" spans="1:47" ht="21" customHeight="1">
      <c r="A31" s="225" t="s">
        <v>42</v>
      </c>
      <c r="B31" s="225"/>
      <c r="C31" s="225"/>
      <c r="D31" s="49">
        <f>SUM(S10:S24)</f>
        <v>5</v>
      </c>
      <c r="E31" s="49">
        <f>SUM(V10:V24)</f>
        <v>4</v>
      </c>
      <c r="F31" s="49">
        <f>SUM(Y10:Y24)</f>
        <v>4</v>
      </c>
      <c r="G31" s="49">
        <f>SUM(AB10:AB24)</f>
        <v>3</v>
      </c>
      <c r="H31" s="49">
        <f>SUM(AE10:AE24)</f>
        <v>4</v>
      </c>
      <c r="I31" s="49">
        <f>SUM(AH10:AH24)</f>
        <v>2</v>
      </c>
      <c r="J31" s="49">
        <f>SUM(AK10:AK24)</f>
        <v>3</v>
      </c>
      <c r="K31" s="49">
        <f>SUM(AN10:AN24)</f>
        <v>3</v>
      </c>
      <c r="L31" s="49">
        <f>SUM(AQ10:AQ24)</f>
        <v>0</v>
      </c>
      <c r="M31" s="49">
        <f>SUM(AT10:AT24)</f>
        <v>0</v>
      </c>
      <c r="N31" s="49"/>
      <c r="O31" s="49"/>
      <c r="P31" s="49"/>
      <c r="Q31" s="49"/>
    </row>
    <row r="32" spans="1:47" ht="21" customHeight="1">
      <c r="A32" s="225" t="s">
        <v>43</v>
      </c>
      <c r="B32" s="225"/>
      <c r="C32" s="225"/>
      <c r="D32" s="49">
        <f>SUM(T10:T24)</f>
        <v>3</v>
      </c>
      <c r="E32" s="49">
        <f>SUM(W10:W24)</f>
        <v>4</v>
      </c>
      <c r="F32" s="49">
        <f>SUM(Z10:Z24)</f>
        <v>4</v>
      </c>
      <c r="G32" s="49">
        <f>SUM(AC10:AC24)</f>
        <v>4</v>
      </c>
      <c r="H32" s="49">
        <f>SUM(AF10:AF24)</f>
        <v>4</v>
      </c>
      <c r="I32" s="49">
        <f>SUM(AI10:AI24)</f>
        <v>6</v>
      </c>
      <c r="J32" s="49">
        <f>SUM(AL10:AL24)</f>
        <v>5</v>
      </c>
      <c r="K32" s="49">
        <f>SUM(AO10:AO24)</f>
        <v>4</v>
      </c>
      <c r="L32" s="49">
        <f>SUM(AR10:AR24)</f>
        <v>0</v>
      </c>
      <c r="M32" s="49">
        <f>SUM(AU10:AU24)</f>
        <v>0</v>
      </c>
      <c r="N32" s="49"/>
      <c r="O32" s="49"/>
      <c r="P32" s="49"/>
      <c r="Q32" s="49"/>
    </row>
    <row r="33" spans="1:17" ht="15" customHeight="1">
      <c r="A33" s="42"/>
      <c r="B33" s="42"/>
      <c r="C33" s="42"/>
    </row>
    <row r="34" spans="1:17" ht="15" customHeight="1">
      <c r="A34" s="42"/>
      <c r="B34" s="42"/>
      <c r="C34" s="42"/>
    </row>
    <row r="35" spans="1:17" ht="18" customHeight="1">
      <c r="A35" s="214" t="s">
        <v>44</v>
      </c>
      <c r="B35" s="53" t="s">
        <v>41</v>
      </c>
      <c r="C35" s="44">
        <v>134</v>
      </c>
      <c r="D35" s="49">
        <f>IF(C35=0, 0, ((SUM(D30:M30)+SUM(D31:M31))/C35)*100)</f>
        <v>42.537313432835823</v>
      </c>
      <c r="E35" s="49" t="s">
        <v>16</v>
      </c>
    </row>
    <row r="36" spans="1:17" ht="18" customHeight="1">
      <c r="A36" s="214"/>
      <c r="B36" s="53" t="s">
        <v>46</v>
      </c>
      <c r="C36" s="44">
        <v>242</v>
      </c>
      <c r="D36" s="49">
        <f>IF(C36=0, 0, ((SUM(D32:M32))/C36)*100)</f>
        <v>14.049586776859504</v>
      </c>
      <c r="E36" s="49" t="s">
        <v>16</v>
      </c>
    </row>
    <row r="37" spans="1:17" ht="18" customHeight="1">
      <c r="A37" s="214"/>
      <c r="B37" s="225" t="s">
        <v>48</v>
      </c>
      <c r="C37" s="225"/>
      <c r="D37" s="49">
        <f>D35+D36</f>
        <v>56.58690020969533</v>
      </c>
      <c r="E37" s="49" t="s">
        <v>16</v>
      </c>
    </row>
    <row r="38" spans="1:17" ht="18" customHeight="1">
      <c r="A38" s="214"/>
      <c r="B38" s="225" t="s">
        <v>47</v>
      </c>
      <c r="C38" s="225"/>
      <c r="D38" s="49">
        <v>100</v>
      </c>
      <c r="E38" s="49" t="s">
        <v>16</v>
      </c>
    </row>
    <row r="39" spans="1:17" ht="18" customHeight="1">
      <c r="A39" s="214"/>
      <c r="B39" s="225" t="s">
        <v>19</v>
      </c>
      <c r="C39" s="225"/>
      <c r="D39" s="49">
        <f>CEILING(D37 /D38, 1)</f>
        <v>1</v>
      </c>
      <c r="E39" s="48" t="s">
        <v>20</v>
      </c>
    </row>
    <row r="40" spans="1:17" ht="18" customHeight="1">
      <c r="A40" s="214" t="s">
        <v>45</v>
      </c>
      <c r="B40" s="53" t="s">
        <v>41</v>
      </c>
      <c r="C40" s="44">
        <v>154</v>
      </c>
      <c r="D40" s="49">
        <f>IF(C40=0, 0, ((SUM(D30:M30)+SUM(D31:M31))/C40)*100)</f>
        <v>37.012987012987011</v>
      </c>
      <c r="E40" s="49" t="s">
        <v>16</v>
      </c>
    </row>
    <row r="41" spans="1:17" ht="18" customHeight="1">
      <c r="A41" s="214"/>
      <c r="B41" s="53" t="s">
        <v>46</v>
      </c>
      <c r="C41" s="44">
        <v>278</v>
      </c>
      <c r="D41" s="49">
        <f>IF(C41=0, 0, ((SUM(D32:M32))/C41)*100)</f>
        <v>12.23021582733813</v>
      </c>
      <c r="E41" s="49" t="s">
        <v>16</v>
      </c>
    </row>
    <row r="42" spans="1:17" ht="18" customHeight="1">
      <c r="A42" s="214"/>
      <c r="B42" s="225" t="s">
        <v>48</v>
      </c>
      <c r="C42" s="225"/>
      <c r="D42" s="49">
        <f>D40+D41</f>
        <v>49.243202840325139</v>
      </c>
      <c r="E42" s="49" t="s">
        <v>16</v>
      </c>
    </row>
    <row r="43" spans="1:17" ht="18" customHeight="1">
      <c r="A43" s="214"/>
      <c r="B43" s="225" t="s">
        <v>47</v>
      </c>
      <c r="C43" s="225"/>
      <c r="D43" s="49">
        <v>100</v>
      </c>
      <c r="E43" s="49" t="s">
        <v>16</v>
      </c>
    </row>
    <row r="44" spans="1:17" ht="25.15" customHeight="1">
      <c r="A44" s="214"/>
      <c r="B44" s="225" t="s">
        <v>19</v>
      </c>
      <c r="C44" s="225"/>
      <c r="D44" s="49">
        <f>CEILING(D42 /D43, 1)</f>
        <v>1</v>
      </c>
      <c r="E44" s="48" t="s">
        <v>20</v>
      </c>
    </row>
    <row r="45" spans="1:17" ht="25.15" customHeight="1">
      <c r="A45" s="40"/>
      <c r="B45" s="42"/>
      <c r="C45" s="42"/>
      <c r="E45" s="2"/>
    </row>
    <row r="46" spans="1:17" ht="4.9000000000000004" customHeight="1">
      <c r="A46" s="40"/>
      <c r="B46" s="42"/>
      <c r="C46" s="42"/>
      <c r="E46" s="2"/>
    </row>
    <row r="47" spans="1:17" ht="21" customHeight="1">
      <c r="A47" s="214" t="s">
        <v>15</v>
      </c>
      <c r="B47" s="231"/>
      <c r="C47" s="44" t="s">
        <v>49</v>
      </c>
      <c r="D47" s="214" t="s">
        <v>53</v>
      </c>
      <c r="E47" s="214"/>
      <c r="F47" s="214"/>
      <c r="G47" s="214" t="s">
        <v>54</v>
      </c>
      <c r="H47" s="214"/>
      <c r="I47" s="214"/>
      <c r="J47" s="221" t="s">
        <v>55</v>
      </c>
      <c r="K47" s="222"/>
      <c r="L47" s="222"/>
      <c r="M47" s="223"/>
      <c r="N47" s="54"/>
      <c r="O47" s="232" t="s">
        <v>60</v>
      </c>
      <c r="P47" s="233"/>
    </row>
    <row r="48" spans="1:17" ht="21" customHeight="1">
      <c r="A48" s="226" t="s">
        <v>50</v>
      </c>
      <c r="B48" s="227"/>
      <c r="C48" s="49"/>
      <c r="D48" s="221"/>
      <c r="E48" s="222"/>
      <c r="F48" s="223"/>
      <c r="G48" s="221"/>
      <c r="H48" s="222"/>
      <c r="I48" s="223"/>
      <c r="J48" s="228"/>
      <c r="K48" s="229"/>
      <c r="L48" s="229"/>
      <c r="M48" s="230"/>
      <c r="N48" s="55"/>
      <c r="O48" s="56" t="s">
        <v>56</v>
      </c>
      <c r="P48" s="57" t="s">
        <v>57</v>
      </c>
      <c r="Q48" s="43"/>
    </row>
    <row r="49" spans="1:17" ht="21" customHeight="1">
      <c r="A49" s="226" t="s">
        <v>51</v>
      </c>
      <c r="B49" s="227"/>
      <c r="C49" s="49"/>
      <c r="D49" s="221"/>
      <c r="E49" s="222"/>
      <c r="F49" s="223"/>
      <c r="G49" s="221"/>
      <c r="H49" s="222"/>
      <c r="I49" s="223"/>
      <c r="J49" s="228"/>
      <c r="K49" s="229"/>
      <c r="L49" s="229"/>
      <c r="M49" s="230"/>
      <c r="N49" s="55"/>
      <c r="O49" s="56" t="s">
        <v>58</v>
      </c>
      <c r="P49" s="57" t="s">
        <v>57</v>
      </c>
      <c r="Q49" s="58"/>
    </row>
    <row r="50" spans="1:17" ht="21" customHeight="1">
      <c r="A50" s="226" t="s">
        <v>52</v>
      </c>
      <c r="B50" s="226"/>
      <c r="C50" s="49"/>
      <c r="D50" s="221"/>
      <c r="E50" s="222"/>
      <c r="F50" s="223"/>
      <c r="G50" s="221"/>
      <c r="H50" s="222"/>
      <c r="I50" s="223"/>
      <c r="J50" s="228"/>
      <c r="K50" s="229"/>
      <c r="L50" s="229"/>
      <c r="M50" s="230"/>
      <c r="N50" s="55"/>
      <c r="O50" s="59" t="s">
        <v>59</v>
      </c>
      <c r="P50" s="60" t="s">
        <v>57</v>
      </c>
      <c r="Q50" s="58"/>
    </row>
    <row r="51" spans="1:17" ht="15" customHeight="1">
      <c r="O51" s="58"/>
      <c r="P51" s="58"/>
      <c r="Q51" s="58"/>
    </row>
  </sheetData>
  <mergeCells count="59">
    <mergeCell ref="G48:I48"/>
    <mergeCell ref="G49:I49"/>
    <mergeCell ref="G50:I50"/>
    <mergeCell ref="O47:P47"/>
    <mergeCell ref="O8:O9"/>
    <mergeCell ref="P8:P9"/>
    <mergeCell ref="M8:M9"/>
    <mergeCell ref="J47:M47"/>
    <mergeCell ref="A48:B48"/>
    <mergeCell ref="A49:B49"/>
    <mergeCell ref="A50:B50"/>
    <mergeCell ref="J50:M50"/>
    <mergeCell ref="A40:A44"/>
    <mergeCell ref="B42:C42"/>
    <mergeCell ref="B43:C43"/>
    <mergeCell ref="B44:C44"/>
    <mergeCell ref="A47:B47"/>
    <mergeCell ref="D47:F47"/>
    <mergeCell ref="J48:M48"/>
    <mergeCell ref="J49:M49"/>
    <mergeCell ref="G47:I47"/>
    <mergeCell ref="D48:F48"/>
    <mergeCell ref="D49:F49"/>
    <mergeCell ref="D50:F50"/>
    <mergeCell ref="A31:C31"/>
    <mergeCell ref="A32:C32"/>
    <mergeCell ref="A35:A39"/>
    <mergeCell ref="B37:C37"/>
    <mergeCell ref="B38:C38"/>
    <mergeCell ref="B39:C39"/>
    <mergeCell ref="AJ8:AL8"/>
    <mergeCell ref="AM8:AO8"/>
    <mergeCell ref="AP8:AR8"/>
    <mergeCell ref="AS8:AU8"/>
    <mergeCell ref="A29:B29"/>
    <mergeCell ref="R8:T8"/>
    <mergeCell ref="U8:W8"/>
    <mergeCell ref="X8:Z8"/>
    <mergeCell ref="AA8:AC8"/>
    <mergeCell ref="AD8:AF8"/>
    <mergeCell ref="AG8:AI8"/>
    <mergeCell ref="G8:G9"/>
    <mergeCell ref="H8:H9"/>
    <mergeCell ref="I8:I9"/>
    <mergeCell ref="J8:J9"/>
    <mergeCell ref="K8:K9"/>
    <mergeCell ref="A30:C30"/>
    <mergeCell ref="D8:D9"/>
    <mergeCell ref="C7:C9"/>
    <mergeCell ref="E8:E9"/>
    <mergeCell ref="F8:F9"/>
    <mergeCell ref="D7:Q7"/>
    <mergeCell ref="B1:M1"/>
    <mergeCell ref="O1:Q1"/>
    <mergeCell ref="O3:Q4"/>
    <mergeCell ref="A6:B8"/>
    <mergeCell ref="C6:Q6"/>
    <mergeCell ref="L8:L9"/>
    <mergeCell ref="Q8:Q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4:P44"/>
  <sheetViews>
    <sheetView topLeftCell="A4" zoomScale="76" zoomScaleNormal="76" zoomScaleSheetLayoutView="110" workbookViewId="0">
      <selection activeCell="A7" sqref="A7:B9"/>
    </sheetView>
  </sheetViews>
  <sheetFormatPr defaultColWidth="5.75" defaultRowHeight="15" customHeight="1"/>
  <cols>
    <col min="1" max="1" width="5.75" style="1"/>
    <col min="2" max="2" width="63.875" style="1" customWidth="1"/>
    <col min="3" max="3" width="9.25" style="1" customWidth="1"/>
    <col min="4" max="8" width="13.375" style="1" customWidth="1"/>
    <col min="9" max="9" width="13.75" style="1" customWidth="1"/>
    <col min="10" max="10" width="10.75" style="1" customWidth="1"/>
    <col min="11" max="13" width="9.875" style="1" customWidth="1"/>
    <col min="14" max="15" width="10.25" style="1" customWidth="1"/>
    <col min="16" max="16384" width="5.75" style="1"/>
  </cols>
  <sheetData>
    <row r="4" spans="1:10" ht="15" customHeight="1">
      <c r="D4" s="245"/>
      <c r="E4" s="245"/>
      <c r="F4" s="245"/>
      <c r="G4" s="245"/>
      <c r="H4" s="245"/>
      <c r="I4" s="245"/>
    </row>
    <row r="5" spans="1:10" ht="15" customHeight="1">
      <c r="A5" s="243" t="s">
        <v>110</v>
      </c>
      <c r="B5" s="243"/>
      <c r="D5" s="245"/>
      <c r="E5" s="245"/>
      <c r="F5" s="245"/>
      <c r="G5" s="245"/>
      <c r="H5" s="245"/>
      <c r="I5" s="245"/>
    </row>
    <row r="6" spans="1:10" ht="15" customHeight="1" thickBot="1">
      <c r="A6" s="244"/>
      <c r="B6" s="244"/>
    </row>
    <row r="7" spans="1:10" ht="15" customHeight="1">
      <c r="A7" s="246" t="s">
        <v>80</v>
      </c>
      <c r="B7" s="247"/>
      <c r="C7" s="252" t="s">
        <v>39</v>
      </c>
      <c r="D7" s="259" t="str">
        <f>'สุวรรณภูมิ-ผลิต'!F3</f>
        <v>วันที่ 18/08/69  ส่งวันที่ PO 19/08/69</v>
      </c>
      <c r="E7" s="260"/>
      <c r="F7" s="260"/>
      <c r="G7" s="260"/>
      <c r="H7" s="261"/>
      <c r="I7" s="255" t="s">
        <v>69</v>
      </c>
      <c r="J7" s="256"/>
    </row>
    <row r="8" spans="1:10" ht="22.9" customHeight="1" thickBot="1">
      <c r="A8" s="248"/>
      <c r="B8" s="249"/>
      <c r="C8" s="253"/>
      <c r="D8" s="262"/>
      <c r="E8" s="263"/>
      <c r="F8" s="263"/>
      <c r="G8" s="263"/>
      <c r="H8" s="264"/>
      <c r="I8" s="257"/>
      <c r="J8" s="258"/>
    </row>
    <row r="9" spans="1:10" ht="27" customHeight="1" thickBot="1">
      <c r="A9" s="250"/>
      <c r="B9" s="251"/>
      <c r="C9" s="254"/>
      <c r="D9" s="11" t="s">
        <v>0</v>
      </c>
      <c r="E9" s="12" t="s">
        <v>70</v>
      </c>
      <c r="F9" s="12" t="s">
        <v>71</v>
      </c>
      <c r="G9" s="12" t="s">
        <v>72</v>
      </c>
      <c r="H9" s="12" t="s">
        <v>73</v>
      </c>
      <c r="I9" s="8" t="s">
        <v>81</v>
      </c>
      <c r="J9" s="9" t="s">
        <v>79</v>
      </c>
    </row>
    <row r="10" spans="1:10" ht="33.6" customHeight="1">
      <c r="A10" s="234">
        <v>1</v>
      </c>
      <c r="B10" s="32" t="s">
        <v>61</v>
      </c>
      <c r="C10" s="234">
        <v>32</v>
      </c>
      <c r="D10" s="26">
        <f>'สุวรรณภูมิ-ผลิต'!F7</f>
        <v>43</v>
      </c>
      <c r="E10" s="26">
        <f>'สุวรรณภูมิ-ผลิต'!G7</f>
        <v>29</v>
      </c>
      <c r="F10" s="26">
        <f>'สุวรรณภูมิ-ผลิต'!H7</f>
        <v>24</v>
      </c>
      <c r="G10" s="26">
        <f>'สุวรรณภูมิ-ผลิต'!I7</f>
        <v>21</v>
      </c>
      <c r="H10" s="26">
        <f>'สุวรรณภูมิ-ผลิต'!J7</f>
        <v>22</v>
      </c>
      <c r="I10" s="239">
        <f>SUM(D10:H10)</f>
        <v>139</v>
      </c>
      <c r="J10" s="241">
        <v>13</v>
      </c>
    </row>
    <row r="11" spans="1:10" ht="33.6" customHeight="1" thickBot="1">
      <c r="A11" s="235"/>
      <c r="B11" s="33" t="s">
        <v>96</v>
      </c>
      <c r="C11" s="235"/>
      <c r="D11" s="27" t="str">
        <f>IF(D10=0, "", IF(MOD(D10, $C$10) = 0, D10 / $C$10, IF(INT(D10 / $C$10) = 0, MOD(D10, $C$10) &amp; " P", INT(D10 / $C$10) &amp; " + " &amp; MOD(D10, $C$10) &amp; " P")))</f>
        <v>1 + 11 P</v>
      </c>
      <c r="E11" s="28" t="str">
        <f>IF(E10=0, "", IF(MOD(E10, $C$10) = 0, E10 / $C$10, IF(INT(E10 / $C$10) = 0, MOD(E10, $C$10) &amp; " P", INT(E10 / $C$10) &amp; " + " &amp; MOD(E10, $C$10) &amp; " P")))</f>
        <v>29 P</v>
      </c>
      <c r="F11" s="28" t="str">
        <f>IF(F10=0, "", IF(MOD(F10, $C$10) = 0, F10 / $C$10, IF(INT(F10 / $C$10) = 0, MOD(F10, $C$10) &amp; " P", INT(F10 / $C$10) &amp; " + " &amp; MOD(F10, $C$10) &amp; " P")))</f>
        <v>24 P</v>
      </c>
      <c r="G11" s="28" t="str">
        <f>IF(G10=0, "", IF(MOD(G10, $C$10) = 0, G10 / $C$10, IF(INT(G10 / $C$10) = 0, MOD(G10, $C$10) &amp; " P", INT(G10 / $C$10) &amp; " + " &amp; MOD(G10, $C$10) &amp; " P")))</f>
        <v>21 P</v>
      </c>
      <c r="H11" s="28" t="str">
        <f>IF(H10=0, "", IF(MOD(H10, $C$10) = 0, H10 / $C$10, IF(INT(H10 / $C$10) = 0, MOD(H10, $C$10) &amp; " P", INT(H10 / $C$10) &amp; " + " &amp; MOD(H10, $C$10) &amp; " P")))</f>
        <v>22 P</v>
      </c>
      <c r="I11" s="240"/>
      <c r="J11" s="242"/>
    </row>
    <row r="12" spans="1:10" ht="33.6" customHeight="1">
      <c r="A12" s="234">
        <v>2</v>
      </c>
      <c r="B12" s="32" t="s">
        <v>62</v>
      </c>
      <c r="C12" s="234">
        <v>32</v>
      </c>
      <c r="D12" s="26">
        <f>'สุวรรณภูมิ-ผลิต'!F9</f>
        <v>127</v>
      </c>
      <c r="E12" s="26">
        <f>'สุวรรณภูมิ-ผลิต'!G9</f>
        <v>53</v>
      </c>
      <c r="F12" s="26">
        <f>'สุวรรณภูมิ-ผลิต'!H9</f>
        <v>52</v>
      </c>
      <c r="G12" s="26">
        <f>'สุวรรณภูมิ-ผลิต'!I9</f>
        <v>80</v>
      </c>
      <c r="H12" s="26">
        <f>'สุวรรณภูมิ-ผลิต'!J9</f>
        <v>49</v>
      </c>
      <c r="I12" s="239">
        <f>SUM(D12:H12)</f>
        <v>361</v>
      </c>
      <c r="J12" s="241">
        <v>6</v>
      </c>
    </row>
    <row r="13" spans="1:10" ht="33.6" customHeight="1" thickBot="1">
      <c r="A13" s="235"/>
      <c r="B13" s="33" t="s">
        <v>97</v>
      </c>
      <c r="C13" s="235"/>
      <c r="D13" s="30" t="str">
        <f>IF(D12=0, "", IF(MOD(D12, $C$12) = 0, D12 / $C$12, IF(INT(D12 / $C$12) = 0, MOD(D12, $C$12) &amp; " P", INT(D12 / $C$12) &amp; " + " &amp; MOD(D12, $C$12) &amp; " P")))</f>
        <v>3 + 31 P</v>
      </c>
      <c r="E13" s="29" t="str">
        <f>IF(E12=0, "", IF(MOD(E12, $C$12) = 0, E12 / $C$12, IF(INT(E12 / $C$12) = 0, MOD(E12, $C$12) &amp; " P", INT(E12 / $C$12) &amp; " + " &amp; MOD(E12, $C$12) &amp; " P")))</f>
        <v>1 + 21 P</v>
      </c>
      <c r="F13" s="29" t="str">
        <f>IF(F12=0, "", IF(MOD(F12, $C$12) = 0, F12 / $C$12, IF(INT(F12 / $C$12) = 0, MOD(F12, $C$12) &amp; " P", INT(F12 / $C$12) &amp; " + " &amp; MOD(F12, $C$12) &amp; " P")))</f>
        <v>1 + 20 P</v>
      </c>
      <c r="G13" s="29" t="str">
        <f>IF(G12=0, "", IF(MOD(G12, $C$12) = 0, G12 / $C$12, IF(INT(G12 / $C$12) = 0, MOD(G12, $C$12) &amp; " P", INT(G12 / $C$12) &amp; " + " &amp; MOD(G12, $C$12) &amp; " P")))</f>
        <v>2 + 16 P</v>
      </c>
      <c r="H13" s="29" t="str">
        <f>IF(H12=0, "", IF(MOD(H12, $C$12) = 0, H12 / $C$12, IF(INT(H12 / $C$12) = 0, MOD(H12, $C$12) &amp; " P", INT(H12 / $C$12) &amp; " + " &amp; MOD(H12, $C$12) &amp; " P")))</f>
        <v>1 + 17 P</v>
      </c>
      <c r="I13" s="240"/>
      <c r="J13" s="242"/>
    </row>
    <row r="14" spans="1:10" ht="33.6" customHeight="1">
      <c r="A14" s="234">
        <v>4</v>
      </c>
      <c r="B14" s="34" t="s">
        <v>92</v>
      </c>
      <c r="C14" s="237">
        <v>27</v>
      </c>
      <c r="D14" s="26" t="e">
        <f>'สุวรรณภูมิ-ผลิต'!#REF!</f>
        <v>#REF!</v>
      </c>
      <c r="E14" s="26" t="e">
        <f>'สุวรรณภูมิ-ผลิต'!#REF!</f>
        <v>#REF!</v>
      </c>
      <c r="F14" s="26" t="e">
        <f>'สุวรรณภูมิ-ผลิต'!#REF!</f>
        <v>#REF!</v>
      </c>
      <c r="G14" s="26" t="e">
        <f>'สุวรรณภูมิ-ผลิต'!#REF!</f>
        <v>#REF!</v>
      </c>
      <c r="H14" s="26" t="e">
        <f>'สุวรรณภูมิ-ผลิต'!#REF!</f>
        <v>#REF!</v>
      </c>
      <c r="I14" s="239" t="e">
        <f>SUM(D14:H14)</f>
        <v>#REF!</v>
      </c>
      <c r="J14" s="241">
        <v>5</v>
      </c>
    </row>
    <row r="15" spans="1:10" ht="33.6" customHeight="1" thickBot="1">
      <c r="A15" s="235"/>
      <c r="B15" s="33" t="s">
        <v>98</v>
      </c>
      <c r="C15" s="238"/>
      <c r="D15" s="30" t="e">
        <f>IF(D14=0, "", IF( MOD(D14,#REF!) = 0, D14 /#REF!, IF(INT(D14 /#REF!) = 0, MOD(D14,#REF!) &amp; " P", INT(D14 /#REF!) &amp; " + " &amp; MOD(D14,#REF!) &amp; " P")))</f>
        <v>#REF!</v>
      </c>
      <c r="E15" s="30" t="e">
        <f>IF(E14=0, "", IF( MOD(E14,#REF!) = 0, E14 /#REF!, IF(INT(E14 /#REF!) = 0, MOD(E14,#REF!) &amp; " P", INT(E14 /#REF!) &amp; " + " &amp; MOD(E14,#REF!) &amp; " P")))</f>
        <v>#REF!</v>
      </c>
      <c r="F15" s="30" t="e">
        <f>IF(F14=0, "", IF( MOD(F14,#REF!) = 0, F14 /#REF!, IF(INT(F14 /#REF!) = 0, MOD(F14,#REF!) &amp; " P", INT(F14 /#REF!) &amp; " + " &amp; MOD(F14,#REF!) &amp; " P")))</f>
        <v>#REF!</v>
      </c>
      <c r="G15" s="30" t="e">
        <f>IF(G14=0, "", IF( MOD(G14,#REF!) = 0, G14 /#REF!, IF(INT(G14 /#REF!) = 0, MOD(G14,#REF!) &amp; " P", INT(G14 /#REF!) &amp; " + " &amp; MOD(G14,#REF!) &amp; " P")))</f>
        <v>#REF!</v>
      </c>
      <c r="H15" s="30" t="e">
        <f>IF(H14=0, "", IF( MOD(H14,#REF!) = 0, H14 /#REF!, IF(INT(H14 /#REF!) = 0, MOD(H14,#REF!) &amp; " P", INT(H14 /#REF!) &amp; " + " &amp; MOD(H14,#REF!) &amp; " P")))</f>
        <v>#REF!</v>
      </c>
      <c r="I15" s="240"/>
      <c r="J15" s="242"/>
    </row>
    <row r="16" spans="1:10" ht="33.6" customHeight="1">
      <c r="A16" s="234">
        <v>5</v>
      </c>
      <c r="B16" s="35" t="s">
        <v>63</v>
      </c>
      <c r="C16" s="237">
        <v>36</v>
      </c>
      <c r="D16" s="26" t="e">
        <f>'สุวรรณภูมิ-ผลิต'!#REF!</f>
        <v>#REF!</v>
      </c>
      <c r="E16" s="26" t="e">
        <f>'สุวรรณภูมิ-ผลิต'!#REF!</f>
        <v>#REF!</v>
      </c>
      <c r="F16" s="26" t="e">
        <f>'สุวรรณภูมิ-ผลิต'!#REF!</f>
        <v>#REF!</v>
      </c>
      <c r="G16" s="26" t="e">
        <f>'สุวรรณภูมิ-ผลิต'!#REF!</f>
        <v>#REF!</v>
      </c>
      <c r="H16" s="26" t="e">
        <f>'สุวรรณภูมิ-ผลิต'!#REF!</f>
        <v>#REF!</v>
      </c>
      <c r="I16" s="239" t="e">
        <f>SUM(D16:H16)</f>
        <v>#REF!</v>
      </c>
      <c r="J16" s="241">
        <v>7</v>
      </c>
    </row>
    <row r="17" spans="1:10" ht="33.6" customHeight="1" thickBot="1">
      <c r="A17" s="235"/>
      <c r="B17" s="33" t="s">
        <v>99</v>
      </c>
      <c r="C17" s="238"/>
      <c r="D17" s="30" t="e">
        <f>IF(D16=0, "", IF(MOD(D16, $C$16) = 0, D16 / $C$16, IF(INT(D16 / $C$16) = 0, MOD(D16, $C$16) &amp; " P", INT(D16 / $C$16) &amp; " + " &amp; MOD(D16, $C$16) &amp; " P")))</f>
        <v>#REF!</v>
      </c>
      <c r="E17" s="29" t="e">
        <f>IF(E16=0, "", IF(MOD(E16, $C$16) = 0, E16 / $C$16, IF(INT(E16 / $C$16) = 0, MOD(E16, $C$16) &amp; " P", INT(E16 / $C$16) &amp; " + " &amp; MOD(E16, $C$16) &amp; " P")))</f>
        <v>#REF!</v>
      </c>
      <c r="F17" s="29" t="e">
        <f>IF(F16=0, "", IF(MOD(F16, $C$16) = 0, F16 / $C$16, IF(INT(F16 / $C$16) = 0, MOD(F16, $C$16) &amp; " P", INT(F16 / $C$16) &amp; " + " &amp; MOD(F16, $C$16) &amp; " P")))</f>
        <v>#REF!</v>
      </c>
      <c r="G17" s="29" t="e">
        <f>IF(G16=0, "", IF(MOD(G16, $C$16) = 0, G16 / $C$16, IF(INT(G16 / $C$16) = 0, MOD(G16, $C$16) &amp; " P", INT(G16 / $C$16) &amp; " + " &amp; MOD(G16, $C$16) &amp; " P")))</f>
        <v>#REF!</v>
      </c>
      <c r="H17" s="29" t="e">
        <f>IF(H16=0, "", IF(MOD(H16, $C$16) = 0, H16 / $C$16, IF(INT(H16 / $C$16) = 0, MOD(H16, $C$16) &amp; " P", INT(H16 / $C$16) &amp; " + " &amp; MOD(H16, $C$16) &amp; " P")))</f>
        <v>#REF!</v>
      </c>
      <c r="I17" s="240"/>
      <c r="J17" s="242"/>
    </row>
    <row r="18" spans="1:10" ht="33.6" customHeight="1">
      <c r="A18" s="234">
        <v>6</v>
      </c>
      <c r="B18" s="35" t="s">
        <v>64</v>
      </c>
      <c r="C18" s="237">
        <v>15</v>
      </c>
      <c r="D18" s="26">
        <f>'สุวรรณภูมิ-ผลิต'!F11</f>
        <v>63</v>
      </c>
      <c r="E18" s="26">
        <f>'สุวรรณภูมิ-ผลิต'!G11</f>
        <v>16</v>
      </c>
      <c r="F18" s="26">
        <f>'สุวรรณภูมิ-ผลิต'!H11</f>
        <v>13</v>
      </c>
      <c r="G18" s="26">
        <f>'สุวรรณภูมิ-ผลิต'!I11</f>
        <v>30</v>
      </c>
      <c r="H18" s="26">
        <f>'สุวรรณภูมิ-ผลิต'!J11</f>
        <v>12</v>
      </c>
      <c r="I18" s="239">
        <f>SUM(D18:H18)</f>
        <v>134</v>
      </c>
      <c r="J18" s="241">
        <v>7</v>
      </c>
    </row>
    <row r="19" spans="1:10" ht="33.6" customHeight="1" thickBot="1">
      <c r="A19" s="235"/>
      <c r="B19" s="33" t="s">
        <v>100</v>
      </c>
      <c r="C19" s="238"/>
      <c r="D19" s="30" t="str">
        <f>IF(D18=0, "", IF(MOD(D18, $C$18) = 0, D18/ $C$18, IF(INT(D18 / $C$18) = 0, MOD(D18, $C$18) &amp; " P", INT(D18 / $C$18) &amp; " + " &amp; MOD(D18, $C$18) &amp; " P")))</f>
        <v>4 + 3 P</v>
      </c>
      <c r="E19" s="29" t="str">
        <f>IF(E18=0, "", IF(MOD(E18, $C$18) = 0, E18/ $C$18, IF(INT(E18 / $C$18) = 0, MOD(E18, $C$18) &amp; " P", INT(E18 / $C$18) &amp; " + " &amp; MOD(E18, $C$18) &amp; " P")))</f>
        <v>1 + 1 P</v>
      </c>
      <c r="F19" s="29" t="str">
        <f>IF(F18=0, "", IF(MOD(F18, $C$18) = 0, F18/ $C$18, IF(INT(F18 / $C$18) = 0, MOD(F18, $C$18) &amp; " P", INT(F18 / $C$18) &amp; " + " &amp; MOD(F18, $C$18) &amp; " P")))</f>
        <v>13 P</v>
      </c>
      <c r="G19" s="29">
        <f>IF(G18=0, "", IF(MOD(G18, $C$18) = 0, G18/ $C$18, IF(INT(G18 / $C$18) = 0, MOD(G18, $C$18) &amp; " P", INT(G18 / $C$18) &amp; " + " &amp; MOD(G18, $C$18) &amp; " P")))</f>
        <v>2</v>
      </c>
      <c r="H19" s="29" t="str">
        <f>IF(H18=0, "", IF(MOD(H18, $C$18) = 0, H18/ $C$18, IF(INT(H18 / $C$18) = 0, MOD(H18, $C$18) &amp; " P", INT(H18 / $C$18) &amp; " + " &amp; MOD(H18, $C$18) &amp; " P")))</f>
        <v>12 P</v>
      </c>
      <c r="I19" s="240"/>
      <c r="J19" s="242"/>
    </row>
    <row r="20" spans="1:10" ht="33.6" customHeight="1">
      <c r="A20" s="234">
        <v>7</v>
      </c>
      <c r="B20" s="35" t="s">
        <v>65</v>
      </c>
      <c r="C20" s="237">
        <v>45</v>
      </c>
      <c r="D20" s="26">
        <f>'สุวรรณภูมิ-ผลิต'!F17</f>
        <v>60</v>
      </c>
      <c r="E20" s="26">
        <f>'สุวรรณภูมิ-ผลิต'!G17</f>
        <v>34</v>
      </c>
      <c r="F20" s="26">
        <f>'สุวรรณภูมิ-ผลิต'!H17</f>
        <v>22</v>
      </c>
      <c r="G20" s="26">
        <f>'สุวรรณภูมิ-ผลิต'!I17</f>
        <v>38</v>
      </c>
      <c r="H20" s="26">
        <f>'สุวรรณภูมิ-ผลิต'!J17</f>
        <v>24</v>
      </c>
      <c r="I20" s="239">
        <f>SUM(D20:H20)</f>
        <v>178</v>
      </c>
      <c r="J20" s="241">
        <v>4</v>
      </c>
    </row>
    <row r="21" spans="1:10" ht="33.6" customHeight="1" thickBot="1">
      <c r="A21" s="235"/>
      <c r="B21" s="33" t="s">
        <v>101</v>
      </c>
      <c r="C21" s="238"/>
      <c r="D21" s="30" t="str">
        <f>IF(D20=0, "", IF(MOD(D20, $C$20) = 0, D20/ $C$20, IF(INT(D20 / $C$20) = 0, MOD(D20, $C$20) &amp; " P", INT(D20 / $C$20) &amp; " + " &amp; MOD(D20, $C$20) &amp; " P")))</f>
        <v>1 + 15 P</v>
      </c>
      <c r="E21" s="29" t="str">
        <f>IF(E20=0, "", IF(MOD(E20, $C$20) = 0, E20/ $C$20, IF(INT(E20 / $C$20) = 0, MOD(E20, $C$20) &amp; " P", INT(E20 / $C$20) &amp; " + " &amp; MOD(E20, $C$20) &amp; " P")))</f>
        <v>34 P</v>
      </c>
      <c r="F21" s="29" t="str">
        <f>IF(F20=0, "", IF(MOD(F20, $C$20) = 0, F20/ $C$20, IF(INT(F20 / $C$20) = 0, MOD(F20, $C$20) &amp; " P", INT(F20 / $C$20) &amp; " + " &amp; MOD(F20, $C$20) &amp; " P")))</f>
        <v>22 P</v>
      </c>
      <c r="G21" s="29" t="str">
        <f>IF(G20=0, "", IF(MOD(G20, $C$20) = 0, G20/ $C$20, IF(INT(G20 / $C$20) = 0, MOD(G20, $C$20) &amp; " P", INT(G20 / $C$20) &amp; " + " &amp; MOD(G20, $C$20) &amp; " P")))</f>
        <v>38 P</v>
      </c>
      <c r="H21" s="29" t="str">
        <f>IF(H20=0, "", IF(MOD(H20, $C$20) = 0, H20/ $C$20, IF(INT(H20 / $C$20) = 0, MOD(H20, $C$20) &amp; " P", INT(H20 / $C$20) &amp; " + " &amp; MOD(H20, $C$20) &amp; " P")))</f>
        <v>24 P</v>
      </c>
      <c r="I21" s="240"/>
      <c r="J21" s="242"/>
    </row>
    <row r="22" spans="1:10" ht="33.6" customHeight="1">
      <c r="A22" s="234">
        <v>9</v>
      </c>
      <c r="B22" s="36" t="s">
        <v>93</v>
      </c>
      <c r="C22" s="237">
        <v>45</v>
      </c>
      <c r="D22" s="31">
        <f>'สุวรรณภูมิ-ผลิต'!F21</f>
        <v>30</v>
      </c>
      <c r="E22" s="31">
        <f>'สุวรรณภูมิ-ผลิต'!G21</f>
        <v>14</v>
      </c>
      <c r="F22" s="31">
        <f>'สุวรรณภูมิ-ผลิต'!H21</f>
        <v>22</v>
      </c>
      <c r="G22" s="31">
        <f>'สุวรรณภูมิ-ผลิต'!I21</f>
        <v>38</v>
      </c>
      <c r="H22" s="31">
        <f>'สุวรรณภูมิ-ผลิต'!J21</f>
        <v>23</v>
      </c>
      <c r="I22" s="239">
        <f>SUM(D22:H22)</f>
        <v>127</v>
      </c>
      <c r="J22" s="241">
        <v>5</v>
      </c>
    </row>
    <row r="23" spans="1:10" ht="33.6" customHeight="1" thickBot="1">
      <c r="A23" s="235"/>
      <c r="B23" s="33" t="s">
        <v>102</v>
      </c>
      <c r="C23" s="238"/>
      <c r="D23" s="30" t="str">
        <f>IF(D22=0, "", IF(MOD(D22, $C$22) = 0, D22/ $C$22, IF(INT(D22 / $C$22) = 0, MOD(D22, $C$22) &amp; " P", INT(D22 / $C$22) &amp; " + " &amp; MOD(D22, $C$22) &amp; " P")))</f>
        <v>30 P</v>
      </c>
      <c r="E23" s="30" t="str">
        <f t="shared" ref="E23:H23" si="0">IF(E22=0, "", IF(MOD(E22, $C$22) = 0, E22/ $C$22, IF(INT(E22 / $C$22) = 0, MOD(E22, $C$22) &amp; " P", INT(E22 / $C$22) &amp; " + " &amp; MOD(E22, $C$22) &amp; " P")))</f>
        <v>14 P</v>
      </c>
      <c r="F23" s="30" t="str">
        <f t="shared" si="0"/>
        <v>22 P</v>
      </c>
      <c r="G23" s="30" t="str">
        <f t="shared" si="0"/>
        <v>38 P</v>
      </c>
      <c r="H23" s="30" t="str">
        <f t="shared" si="0"/>
        <v>23 P</v>
      </c>
      <c r="I23" s="240"/>
      <c r="J23" s="242"/>
    </row>
    <row r="24" spans="1:10" ht="33.6" customHeight="1">
      <c r="A24" s="234">
        <v>10</v>
      </c>
      <c r="B24" s="36" t="s">
        <v>94</v>
      </c>
      <c r="C24" s="237">
        <v>27</v>
      </c>
      <c r="D24" s="31" t="e">
        <f>'สุวรรณภูมิ-ผลิต'!#REF!</f>
        <v>#REF!</v>
      </c>
      <c r="E24" s="31" t="e">
        <f>'สุวรรณภูมิ-ผลิต'!#REF!</f>
        <v>#REF!</v>
      </c>
      <c r="F24" s="31" t="e">
        <f>'สุวรรณภูมิ-ผลิต'!#REF!</f>
        <v>#REF!</v>
      </c>
      <c r="G24" s="31" t="e">
        <f>'สุวรรณภูมิ-ผลิต'!#REF!</f>
        <v>#REF!</v>
      </c>
      <c r="H24" s="31" t="e">
        <f>'สุวรรณภูมิ-ผลิต'!#REF!</f>
        <v>#REF!</v>
      </c>
      <c r="I24" s="239" t="e">
        <f>SUM(D24:H24)</f>
        <v>#REF!</v>
      </c>
      <c r="J24" s="241">
        <v>27</v>
      </c>
    </row>
    <row r="25" spans="1:10" ht="33.6" customHeight="1" thickBot="1">
      <c r="A25" s="235"/>
      <c r="B25" s="33" t="s">
        <v>103</v>
      </c>
      <c r="C25" s="238"/>
      <c r="D25" s="30" t="e">
        <f>IF(D24=0, "", IF(MOD(D24, $C$24) = 0, D24/ $C$24, IF(INT(D24 / $C$24) = 0, MOD(D24, $C$24) &amp; " P", INT(D24 / $C$24) &amp; " + " &amp; MOD(D24, $C$24) &amp; " P")))</f>
        <v>#REF!</v>
      </c>
      <c r="E25" s="30" t="e">
        <f t="shared" ref="E25:H25" si="1">IF(E24=0, "", IF(MOD(E24, $C$24) = 0, E24/ $C$24, IF(INT(E24 / $C$24) = 0, MOD(E24, $C$24) &amp; " P", INT(E24 / $C$24) &amp; " + " &amp; MOD(E24, $C$24) &amp; " P")))</f>
        <v>#REF!</v>
      </c>
      <c r="F25" s="30" t="e">
        <f t="shared" si="1"/>
        <v>#REF!</v>
      </c>
      <c r="G25" s="30" t="e">
        <f t="shared" si="1"/>
        <v>#REF!</v>
      </c>
      <c r="H25" s="30" t="e">
        <f t="shared" si="1"/>
        <v>#REF!</v>
      </c>
      <c r="I25" s="240"/>
      <c r="J25" s="242"/>
    </row>
    <row r="26" spans="1:10" ht="33.6" customHeight="1">
      <c r="A26" s="234">
        <v>12</v>
      </c>
      <c r="B26" s="35" t="s">
        <v>66</v>
      </c>
      <c r="C26" s="237">
        <v>27</v>
      </c>
      <c r="D26" s="26" t="e">
        <f>'สุวรรณภูมิ-ผลิต'!#REF!</f>
        <v>#REF!</v>
      </c>
      <c r="E26" s="26" t="e">
        <f>'สุวรรณภูมิ-ผลิต'!#REF!</f>
        <v>#REF!</v>
      </c>
      <c r="F26" s="26" t="e">
        <f>'สุวรรณภูมิ-ผลิต'!#REF!</f>
        <v>#REF!</v>
      </c>
      <c r="G26" s="26" t="e">
        <f>'สุวรรณภูมิ-ผลิต'!#REF!</f>
        <v>#REF!</v>
      </c>
      <c r="H26" s="26" t="e">
        <f>'สุวรรณภูมิ-ผลิต'!#REF!</f>
        <v>#REF!</v>
      </c>
      <c r="I26" s="239" t="e">
        <f>SUM(D26:H26)</f>
        <v>#REF!</v>
      </c>
      <c r="J26" s="241">
        <v>6</v>
      </c>
    </row>
    <row r="27" spans="1:10" ht="33.6" customHeight="1" thickBot="1">
      <c r="A27" s="235"/>
      <c r="B27" s="33" t="s">
        <v>104</v>
      </c>
      <c r="C27" s="238"/>
      <c r="D27" s="30" t="e">
        <f>IF(D26=0, "", IF(MOD(D26, $C$26) = 0, D26/ $C$26, IF(INT(D26 / $C$26) = 0, MOD(D26, $C$26) &amp; " P", INT(D26 / $C$26) &amp; " + " &amp; MOD(D26, $C$26) &amp; " P")))</f>
        <v>#REF!</v>
      </c>
      <c r="E27" s="29" t="e">
        <f>IF(E26=0, "", IF(MOD(E26, $C$26) = 0, E26/ $C$26, IF(INT(E26 / $C$26) = 0, MOD(E26, $C$26) &amp; " P", INT(E26 / $C$26) &amp; " + " &amp; MOD(E26, $C$26) &amp; " P")))</f>
        <v>#REF!</v>
      </c>
      <c r="F27" s="29" t="e">
        <f>IF(F26=0, "", IF(MOD(F26, $C$26) = 0, F26/ $C$26, IF(INT(F26 / $C$26) = 0, MOD(F26, $C$26) &amp; " P", INT(F26 / $C$26) &amp; " + " &amp; MOD(F26, $C$26) &amp; " P")))</f>
        <v>#REF!</v>
      </c>
      <c r="G27" s="29" t="e">
        <f>IF(G26=0, "", IF(MOD(G26, $C$26) = 0, G26/ $C$26, IF(INT(G26 / $C$26) = 0, MOD(G26, $C$26) &amp; " P", INT(G26 / $C$26) &amp; " + " &amp; MOD(G26, $C$26) &amp; " P")))</f>
        <v>#REF!</v>
      </c>
      <c r="H27" s="29" t="e">
        <f>IF(H26=0, "", IF(MOD(H26, $C$26) = 0, H26/ $C$26, IF(INT(H26 / $C$26) = 0, MOD(H26, $C$26) &amp; " P", INT(H26 / $C$26) &amp; " + " &amp; MOD(H26, $C$26) &amp; " P")))</f>
        <v>#REF!</v>
      </c>
      <c r="I27" s="240"/>
      <c r="J27" s="242"/>
    </row>
    <row r="28" spans="1:10" ht="33.6" customHeight="1">
      <c r="A28" s="234">
        <v>13</v>
      </c>
      <c r="B28" s="35" t="s">
        <v>67</v>
      </c>
      <c r="C28" s="237">
        <v>20</v>
      </c>
      <c r="D28" s="26">
        <f>'สุวรรณภูมิ-ผลิต'!F23</f>
        <v>99</v>
      </c>
      <c r="E28" s="26">
        <f>'สุวรรณภูมิ-ผลิต'!G23</f>
        <v>21</v>
      </c>
      <c r="F28" s="26">
        <f>'สุวรรณภูมิ-ผลิต'!H23</f>
        <v>20</v>
      </c>
      <c r="G28" s="26">
        <f>'สุวรรณภูมิ-ผลิต'!I23</f>
        <v>53</v>
      </c>
      <c r="H28" s="26">
        <f>'สุวรรณภูมิ-ผลิต'!J23</f>
        <v>27</v>
      </c>
      <c r="I28" s="239">
        <f>SUM(D28:H28)</f>
        <v>220</v>
      </c>
      <c r="J28" s="241">
        <v>9</v>
      </c>
    </row>
    <row r="29" spans="1:10" ht="33.6" customHeight="1" thickBot="1">
      <c r="A29" s="235"/>
      <c r="B29" s="33" t="s">
        <v>105</v>
      </c>
      <c r="C29" s="238"/>
      <c r="D29" s="30" t="str">
        <f>IF(D28=0, "", IF(MOD(D28, $C$28) = 0, D28/ $C$28, IF(INT(D28 / $C$28) = 0, MOD(D28, $C$28) &amp; " P", INT(D28 / $C$28) &amp; " + " &amp; MOD(D28, $C$28) &amp; " P")))</f>
        <v>4 + 19 P</v>
      </c>
      <c r="E29" s="29" t="str">
        <f>IF(E28=0, "", IF(MOD(E28, $C$28) = 0, E28/ $C$28, IF(INT(E28 / $C$28) = 0, MOD(E28, $C$28) &amp; " P", INT(E28 / $C$28) &amp; " + " &amp; MOD(E28, $C$28) &amp; " P")))</f>
        <v>1 + 1 P</v>
      </c>
      <c r="F29" s="29">
        <f>IF(F28=0, "", IF(MOD(F28, $C$28) = 0, F28/ $C$28, IF(INT(F28 / $C$28) = 0, MOD(F28, $C$28) &amp; " P", INT(F28 / $C$28) &amp; " + " &amp; MOD(F28, $C$28) &amp; " P")))</f>
        <v>1</v>
      </c>
      <c r="G29" s="29" t="str">
        <f>IF(G28=0, "", IF(MOD(G28, $C$28) = 0, G28/ $C$28, IF(INT(G28 / $C$28) = 0, MOD(G28, $C$28) &amp; " P", INT(G28 / $C$28) &amp; " + " &amp; MOD(G28, $C$28) &amp; " P")))</f>
        <v>2 + 13 P</v>
      </c>
      <c r="H29" s="29" t="str">
        <f>IF(H28=0, "", IF(MOD(H28, $C$28) = 0, H28/ $C$28, IF(INT(H28 / $C$28) = 0, MOD(H28, $C$28) &amp; " P", INT(H28 / $C$28) &amp; " + " &amp; MOD(H28, $C$28) &amp; " P")))</f>
        <v>1 + 7 P</v>
      </c>
      <c r="I29" s="240"/>
      <c r="J29" s="242"/>
    </row>
    <row r="30" spans="1:10" ht="33.6" customHeight="1">
      <c r="A30" s="234">
        <v>14</v>
      </c>
      <c r="B30" s="37" t="s">
        <v>108</v>
      </c>
      <c r="C30" s="237">
        <v>32</v>
      </c>
      <c r="D30" s="26" t="e">
        <f>'สุวรรณภูมิ-ผลิต'!#REF!</f>
        <v>#REF!</v>
      </c>
      <c r="E30" s="26" t="e">
        <f>'สุวรรณภูมิ-ผลิต'!#REF!</f>
        <v>#REF!</v>
      </c>
      <c r="F30" s="26" t="e">
        <f>'สุวรรณภูมิ-ผลิต'!#REF!</f>
        <v>#REF!</v>
      </c>
      <c r="G30" s="26" t="e">
        <f>'สุวรรณภูมิ-ผลิต'!#REF!</f>
        <v>#REF!</v>
      </c>
      <c r="H30" s="26" t="e">
        <f>'สุวรรณภูมิ-ผลิต'!#REF!</f>
        <v>#REF!</v>
      </c>
      <c r="I30" s="239" t="e">
        <f>SUM(D30:H30)</f>
        <v>#REF!</v>
      </c>
      <c r="J30" s="241">
        <v>5</v>
      </c>
    </row>
    <row r="31" spans="1:10" ht="33.6" customHeight="1" thickBot="1">
      <c r="A31" s="235"/>
      <c r="B31" s="38" t="s">
        <v>109</v>
      </c>
      <c r="C31" s="238"/>
      <c r="D31" s="30" t="e">
        <f>IF(D30=0, "", IF(MOD(D30, $C$30) = 0, D30/ $C$30, IF(INT(D30 / $C$30) = 0, MOD(D30, $C$30) &amp; " P", INT(D30 / $C$30) &amp; " + " &amp; MOD(D30, $C$30) &amp; " P")))</f>
        <v>#REF!</v>
      </c>
      <c r="E31" s="29" t="e">
        <f>IF(E30=0, "", IF(MOD(E30, $C$30) = 0, E30/ $C$30, IF(INT(E30 / $C$30) = 0, MOD(E30, $C$30) &amp; " P", INT(E30 / $C$30) &amp; " + " &amp; MOD(E30, $C$30) &amp; " P")))</f>
        <v>#REF!</v>
      </c>
      <c r="F31" s="29" t="e">
        <f>IF(F30=0, "", IF(MOD(F30, $C$30) = 0, F30/ $C$30, IF(INT(F30 / $C$30) = 0, MOD(F30, $C$30) &amp; " P", INT(F30 / $C$30) &amp; " + " &amp; MOD(F30, $C$30) &amp; " P")))</f>
        <v>#REF!</v>
      </c>
      <c r="G31" s="29" t="e">
        <f>IF(G30=0, "", IF(MOD(G30, $C$30) = 0, G30/ $C$30, IF(INT(G30 / $C$30) = 0, MOD(G30, $C$30) &amp; " P", INT(G30 / $C$30) &amp; " + " &amp; MOD(G30, $C$30) &amp; " P")))</f>
        <v>#REF!</v>
      </c>
      <c r="H31" s="29" t="e">
        <f>IF(H30=0, "", IF(MOD(H30, $C$30) = 0, H30/ $C$30, IF(INT(H30 / $C$30) = 0, MOD(H30, $C$30) &amp; " P", INT(H30 / $C$30) &amp; " + " &amp; MOD(H30, $C$30) &amp; " P")))</f>
        <v>#REF!</v>
      </c>
      <c r="I31" s="240"/>
      <c r="J31" s="242"/>
    </row>
    <row r="32" spans="1:10" ht="33.6" customHeight="1" thickBot="1">
      <c r="A32" s="234">
        <v>16</v>
      </c>
      <c r="B32" s="36" t="s">
        <v>68</v>
      </c>
      <c r="C32" s="236">
        <v>32</v>
      </c>
      <c r="D32" s="26" t="e">
        <f>'สุวรรณภูมิ-ผลิต'!#REF!</f>
        <v>#REF!</v>
      </c>
      <c r="E32" s="26" t="e">
        <f>'สุวรรณภูมิ-ผลิต'!#REF!</f>
        <v>#REF!</v>
      </c>
      <c r="F32" s="26" t="e">
        <f>'สุวรรณภูมิ-ผลิต'!#REF!</f>
        <v>#REF!</v>
      </c>
      <c r="G32" s="26" t="e">
        <f>'สุวรรณภูมิ-ผลิต'!#REF!</f>
        <v>#REF!</v>
      </c>
      <c r="H32" s="26" t="e">
        <f>'สุวรรณภูมิ-ผลิต'!#REF!</f>
        <v>#REF!</v>
      </c>
      <c r="I32" s="239" t="e">
        <f>SUM(D32:H32)</f>
        <v>#REF!</v>
      </c>
      <c r="J32" s="270">
        <v>5</v>
      </c>
    </row>
    <row r="33" spans="1:16" ht="33.6" customHeight="1" thickBot="1">
      <c r="A33" s="235"/>
      <c r="B33" s="33" t="s">
        <v>106</v>
      </c>
      <c r="C33" s="236"/>
      <c r="D33" s="30" t="e">
        <f>IF(D32=0, "", IF(MOD(D32, $C$32) = 0, D32/ $C$332, IF(INT(D32 / $C$32) = 0, MOD(D32, $C$32) &amp; " P", INT(D32 / $C$32) &amp; " + " &amp; MOD(D32, $C$32) &amp; " P")))</f>
        <v>#REF!</v>
      </c>
      <c r="E33" s="29" t="e">
        <f>IF(E32=0, "", IF(MOD(E32, $C$30) = 0, E32/ $C$30, IF(INT(E32 / $C$30) = 0, MOD(E32, $C$30) &amp; " P", INT(E32 / $C$30) &amp; " + " &amp; MOD(E32, $C$30) &amp; " P")))</f>
        <v>#REF!</v>
      </c>
      <c r="F33" s="29" t="e">
        <f>IF(F32=0, "", IF(MOD(F32, $C$30) = 0, F32/ $C$30, IF(INT(F32 / $C$30) = 0, MOD(F32, $C$30) &amp; " P", INT(F32 / $C$30) &amp; " + " &amp; MOD(F32, $C$30) &amp; " P")))</f>
        <v>#REF!</v>
      </c>
      <c r="G33" s="29" t="e">
        <f>IF(G32=0, "", IF(MOD(G32, $C$30) = 0, G32/ $C$30, IF(INT(G32 / $C$30) = 0, MOD(G32, $C$30) &amp; " P", INT(G32 / $C$30) &amp; " + " &amp; MOD(G32, $C$30) &amp; " P")))</f>
        <v>#REF!</v>
      </c>
      <c r="H33" s="29" t="e">
        <f>IF(H32=0, "", IF(MOD(H32, $C$30) = 0, H32/ $C$30, IF(INT(H32 / $C$30) = 0, MOD(H32, $C$30) &amp; " P", INT(H32 / $C$30) &amp; " + " &amp; MOD(H32, $C$30) &amp; " P")))</f>
        <v>#REF!</v>
      </c>
      <c r="I33" s="240"/>
      <c r="J33" s="270"/>
    </row>
    <row r="34" spans="1:16" ht="33.6" customHeight="1" thickBot="1">
      <c r="A34" s="234">
        <v>17</v>
      </c>
      <c r="B34" s="32" t="s">
        <v>95</v>
      </c>
      <c r="C34" s="236">
        <v>45</v>
      </c>
      <c r="D34" s="26" t="e">
        <f>'สุวรรณภูมิ-ผลิต'!#REF!</f>
        <v>#REF!</v>
      </c>
      <c r="E34" s="26" t="e">
        <f>'สุวรรณภูมิ-ผลิต'!#REF!</f>
        <v>#REF!</v>
      </c>
      <c r="F34" s="26" t="e">
        <f>'สุวรรณภูมิ-ผลิต'!#REF!</f>
        <v>#REF!</v>
      </c>
      <c r="G34" s="26" t="e">
        <f>'สุวรรณภูมิ-ผลิต'!#REF!</f>
        <v>#REF!</v>
      </c>
      <c r="H34" s="26" t="e">
        <f>'สุวรรณภูมิ-ผลิต'!#REF!</f>
        <v>#REF!</v>
      </c>
      <c r="I34" s="239" t="e">
        <f t="shared" ref="I34" si="2">SUM(D34:H34)</f>
        <v>#REF!</v>
      </c>
      <c r="J34" s="270">
        <v>5</v>
      </c>
    </row>
    <row r="35" spans="1:16" ht="33.6" customHeight="1" thickBot="1">
      <c r="A35" s="235"/>
      <c r="B35" s="33" t="s">
        <v>107</v>
      </c>
      <c r="C35" s="236"/>
      <c r="D35" s="30" t="e">
        <f>IF(D34=0, "", IF(MOD(D34, $C$34) = 0, D34/ $C$34, IF(INT(D34 / $C$34) = 0, MOD(D34, $C$34) &amp; " P", INT(D34 / $C$34) &amp; " + " &amp; MOD(D34, $C$34) &amp; " P")))</f>
        <v>#REF!</v>
      </c>
      <c r="E35" s="29" t="e">
        <f>IF(E34=0, "", IF(MOD(E34, $C$30) = 0, E34/ $C$30, IF(INT(E34 / $C$30) = 0, MOD(E34, $C$30) &amp; " P", INT(E34 / $C$30) &amp; " + " &amp; MOD(E34, $C$30) &amp; " P")))</f>
        <v>#REF!</v>
      </c>
      <c r="F35" s="29" t="e">
        <f>IF(F34=0, "", IF(MOD(F34, $C$30) = 0, F34/ $C$30, IF(INT(F34 / $C$30) = 0, MOD(F34, $C$30) &amp; " P", INT(F34 / $C$30) &amp; " + " &amp; MOD(F34, $C$30) &amp; " P")))</f>
        <v>#REF!</v>
      </c>
      <c r="G35" s="29" t="e">
        <f>IF(G34=0, "", IF(MOD(G34, $C$30) = 0, G34/ $C$30, IF(INT(G34 / $C$30) = 0, MOD(G34, $C$30) &amp; " P", INT(G34 / $C$30) &amp; " + " &amp; MOD(G34, $C$30) &amp; " P")))</f>
        <v>#REF!</v>
      </c>
      <c r="H35" s="29" t="e">
        <f>IF(H34=0, "", IF(MOD(H34, $C$30) = 0, H34/ $C$30, IF(INT(H34 / $C$30) = 0, MOD(H34, $C$30) &amp; " P", INT(H34 / $C$30) &amp; " + " &amp; MOD(H34, $C$30) &amp; " P")))</f>
        <v>#REF!</v>
      </c>
      <c r="I35" s="240"/>
      <c r="J35" s="270"/>
    </row>
    <row r="36" spans="1:16" ht="37.5" customHeight="1" thickBot="1">
      <c r="A36" s="13"/>
      <c r="B36" s="266" t="s">
        <v>40</v>
      </c>
      <c r="C36" s="267"/>
      <c r="D36" s="14">
        <v>-36</v>
      </c>
      <c r="E36" s="14">
        <v>-22</v>
      </c>
      <c r="F36" s="14">
        <v>-22</v>
      </c>
      <c r="G36" s="14">
        <v>-24</v>
      </c>
      <c r="H36" s="14">
        <v>-21</v>
      </c>
      <c r="I36" s="14" t="s">
        <v>91</v>
      </c>
      <c r="J36" s="15">
        <f>SUM(J10:J35)</f>
        <v>104</v>
      </c>
      <c r="K36" s="3"/>
      <c r="L36" s="3"/>
      <c r="M36" s="3"/>
      <c r="N36" s="4"/>
      <c r="O36" s="5"/>
    </row>
    <row r="37" spans="1:16" ht="15" customHeight="1" thickBot="1">
      <c r="P37" s="2"/>
    </row>
    <row r="38" spans="1:16" ht="33" customHeight="1" thickBot="1">
      <c r="B38" s="16"/>
      <c r="C38" s="17" t="s">
        <v>49</v>
      </c>
      <c r="D38" s="17" t="s">
        <v>53</v>
      </c>
      <c r="E38" s="17" t="s">
        <v>54</v>
      </c>
      <c r="F38" s="17" t="s">
        <v>88</v>
      </c>
      <c r="G38" s="268" t="s">
        <v>112</v>
      </c>
      <c r="H38" s="269"/>
      <c r="I38" s="269"/>
      <c r="J38" s="269"/>
      <c r="K38" s="10"/>
    </row>
    <row r="39" spans="1:16" ht="25.9" customHeight="1" thickBot="1">
      <c r="B39" s="24" t="s">
        <v>82</v>
      </c>
      <c r="C39" s="25"/>
      <c r="D39" s="25"/>
      <c r="E39" s="25"/>
      <c r="F39" s="25"/>
      <c r="G39" s="6"/>
      <c r="H39" s="6"/>
      <c r="I39" s="265" t="s">
        <v>83</v>
      </c>
      <c r="J39" s="265"/>
      <c r="K39" s="265"/>
    </row>
    <row r="40" spans="1:16" ht="25.9" customHeight="1" thickBot="1">
      <c r="B40" s="24" t="s">
        <v>84</v>
      </c>
      <c r="C40" s="25"/>
      <c r="D40" s="25"/>
      <c r="E40" s="25"/>
      <c r="F40" s="25"/>
      <c r="G40" s="6"/>
      <c r="H40" s="7"/>
      <c r="I40" s="18" t="s">
        <v>85</v>
      </c>
      <c r="J40" s="18" t="s">
        <v>59</v>
      </c>
      <c r="K40" s="19"/>
    </row>
    <row r="41" spans="1:16" ht="25.9" customHeight="1" thickBot="1">
      <c r="B41" s="24" t="s">
        <v>86</v>
      </c>
      <c r="C41" s="25"/>
      <c r="D41" s="25"/>
      <c r="E41" s="25"/>
      <c r="F41" s="25"/>
      <c r="G41" s="6"/>
      <c r="H41" s="7"/>
      <c r="I41" s="18"/>
      <c r="J41" s="18"/>
      <c r="K41" s="19"/>
    </row>
    <row r="42" spans="1:16" ht="23.25" customHeight="1" thickBot="1">
      <c r="B42" s="6"/>
      <c r="C42" s="6"/>
      <c r="D42" s="6"/>
      <c r="E42" s="6"/>
      <c r="F42" s="6"/>
      <c r="G42" s="6"/>
      <c r="H42" s="21"/>
      <c r="I42" s="22"/>
      <c r="J42" s="23"/>
      <c r="K42" s="19"/>
    </row>
    <row r="44" spans="1:16" ht="20.45" customHeight="1" thickBot="1">
      <c r="H44" s="7" t="s">
        <v>87</v>
      </c>
      <c r="I44" s="20"/>
      <c r="J44" s="20"/>
    </row>
  </sheetData>
  <mergeCells count="62">
    <mergeCell ref="I39:K39"/>
    <mergeCell ref="J20:J21"/>
    <mergeCell ref="J28:J29"/>
    <mergeCell ref="B36:C36"/>
    <mergeCell ref="J26:J27"/>
    <mergeCell ref="G38:J38"/>
    <mergeCell ref="J22:J23"/>
    <mergeCell ref="I26:I27"/>
    <mergeCell ref="J24:J25"/>
    <mergeCell ref="J32:J33"/>
    <mergeCell ref="J34:J35"/>
    <mergeCell ref="I32:I33"/>
    <mergeCell ref="J16:J17"/>
    <mergeCell ref="I34:I35"/>
    <mergeCell ref="C22:C23"/>
    <mergeCell ref="I22:I23"/>
    <mergeCell ref="I14:I15"/>
    <mergeCell ref="J14:J15"/>
    <mergeCell ref="J18:J19"/>
    <mergeCell ref="I24:I25"/>
    <mergeCell ref="I20:I21"/>
    <mergeCell ref="I30:I31"/>
    <mergeCell ref="J30:J31"/>
    <mergeCell ref="I16:I17"/>
    <mergeCell ref="A5:B6"/>
    <mergeCell ref="D4:F5"/>
    <mergeCell ref="G4:I5"/>
    <mergeCell ref="A7:B9"/>
    <mergeCell ref="C7:C9"/>
    <mergeCell ref="I7:J8"/>
    <mergeCell ref="D7:H8"/>
    <mergeCell ref="J10:J11"/>
    <mergeCell ref="I10:I11"/>
    <mergeCell ref="A12:A13"/>
    <mergeCell ref="C12:C13"/>
    <mergeCell ref="I12:I13"/>
    <mergeCell ref="J12:J13"/>
    <mergeCell ref="A18:A19"/>
    <mergeCell ref="C18:C19"/>
    <mergeCell ref="I18:I19"/>
    <mergeCell ref="C10:C11"/>
    <mergeCell ref="A10:A11"/>
    <mergeCell ref="A14:A15"/>
    <mergeCell ref="C14:C15"/>
    <mergeCell ref="A16:A17"/>
    <mergeCell ref="C16:C17"/>
    <mergeCell ref="A22:A23"/>
    <mergeCell ref="A24:A25"/>
    <mergeCell ref="C24:C25"/>
    <mergeCell ref="A20:A21"/>
    <mergeCell ref="C20:C21"/>
    <mergeCell ref="A28:A29"/>
    <mergeCell ref="C28:C29"/>
    <mergeCell ref="I28:I29"/>
    <mergeCell ref="A26:A27"/>
    <mergeCell ref="C26:C27"/>
    <mergeCell ref="A32:A33"/>
    <mergeCell ref="A34:A35"/>
    <mergeCell ref="C32:C33"/>
    <mergeCell ref="C34:C35"/>
    <mergeCell ref="A30:A31"/>
    <mergeCell ref="C30:C31"/>
  </mergeCells>
  <printOptions horizontalCentered="1"/>
  <pageMargins left="0" right="0" top="0.19685039370078741" bottom="0" header="0" footer="0"/>
  <pageSetup paperSize="9" scale="52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4:P44"/>
  <sheetViews>
    <sheetView zoomScale="76" zoomScaleNormal="76" zoomScaleSheetLayoutView="110" workbookViewId="0">
      <selection activeCell="D15" sqref="D15"/>
    </sheetView>
  </sheetViews>
  <sheetFormatPr defaultColWidth="5.75" defaultRowHeight="15" customHeight="1"/>
  <cols>
    <col min="1" max="1" width="5.75" style="1"/>
    <col min="2" max="2" width="62.5" style="1" customWidth="1"/>
    <col min="3" max="3" width="9.25" style="1" customWidth="1"/>
    <col min="4" max="8" width="13.375" style="1" customWidth="1"/>
    <col min="9" max="9" width="13.75" style="1" customWidth="1"/>
    <col min="10" max="10" width="10.75" style="1" customWidth="1"/>
    <col min="11" max="13" width="9.875" style="1" customWidth="1"/>
    <col min="14" max="15" width="10.25" style="1" customWidth="1"/>
    <col min="16" max="16384" width="5.75" style="1"/>
  </cols>
  <sheetData>
    <row r="4" spans="1:10" ht="15" customHeight="1">
      <c r="D4" s="245"/>
      <c r="E4" s="245"/>
      <c r="F4" s="245"/>
      <c r="G4" s="245"/>
      <c r="H4" s="245"/>
      <c r="I4" s="245"/>
    </row>
    <row r="5" spans="1:10" ht="15" customHeight="1">
      <c r="A5" s="243" t="s">
        <v>111</v>
      </c>
      <c r="B5" s="243"/>
      <c r="D5" s="245"/>
      <c r="E5" s="245"/>
      <c r="F5" s="245"/>
      <c r="G5" s="245"/>
      <c r="H5" s="245"/>
      <c r="I5" s="245"/>
    </row>
    <row r="6" spans="1:10" ht="15" customHeight="1" thickBot="1">
      <c r="A6" s="244"/>
      <c r="B6" s="244"/>
    </row>
    <row r="7" spans="1:10" ht="15" customHeight="1">
      <c r="A7" s="246" t="s">
        <v>80</v>
      </c>
      <c r="B7" s="247"/>
      <c r="C7" s="252" t="s">
        <v>39</v>
      </c>
      <c r="D7" s="259" t="str">
        <f>'สุวรรณภูมิ-ผลิต'!F3</f>
        <v>วันที่ 18/08/69  ส่งวันที่ PO 19/08/69</v>
      </c>
      <c r="E7" s="260"/>
      <c r="F7" s="260"/>
      <c r="G7" s="260"/>
      <c r="H7" s="261"/>
      <c r="I7" s="255" t="s">
        <v>69</v>
      </c>
      <c r="J7" s="256"/>
    </row>
    <row r="8" spans="1:10" ht="22.9" customHeight="1" thickBot="1">
      <c r="A8" s="248"/>
      <c r="B8" s="249"/>
      <c r="C8" s="253"/>
      <c r="D8" s="262"/>
      <c r="E8" s="263"/>
      <c r="F8" s="263"/>
      <c r="G8" s="263"/>
      <c r="H8" s="264"/>
      <c r="I8" s="257"/>
      <c r="J8" s="258"/>
    </row>
    <row r="9" spans="1:10" ht="27" customHeight="1" thickBot="1">
      <c r="A9" s="250"/>
      <c r="B9" s="251"/>
      <c r="C9" s="254"/>
      <c r="D9" s="11" t="s">
        <v>28</v>
      </c>
      <c r="E9" s="11" t="s">
        <v>29</v>
      </c>
      <c r="F9" s="11" t="s">
        <v>30</v>
      </c>
      <c r="G9" s="11" t="s">
        <v>31</v>
      </c>
      <c r="H9" s="11" t="s">
        <v>32</v>
      </c>
      <c r="I9" s="8" t="s">
        <v>81</v>
      </c>
      <c r="J9" s="9" t="s">
        <v>79</v>
      </c>
    </row>
    <row r="10" spans="1:10" ht="33.6" customHeight="1">
      <c r="A10" s="234">
        <v>1</v>
      </c>
      <c r="B10" s="32" t="s">
        <v>61</v>
      </c>
      <c r="C10" s="234">
        <v>32</v>
      </c>
      <c r="D10" s="26">
        <f>'สุวรรณภูมิ-ผลิต'!K7</f>
        <v>10</v>
      </c>
      <c r="E10" s="26">
        <f>'สุวรรณภูมิ-ผลิต'!L7</f>
        <v>12</v>
      </c>
      <c r="F10" s="26">
        <f>'สุวรรณภูมิ-ผลิต'!M7</f>
        <v>31</v>
      </c>
      <c r="G10" s="26">
        <f>'สุวรรณภูมิ-ผลิต'!N7</f>
        <v>0</v>
      </c>
      <c r="H10" s="26">
        <f>'สุวรรณภูมิ-ผลิต'!O7</f>
        <v>0</v>
      </c>
      <c r="I10" s="239">
        <f>SUM(D10:H10)</f>
        <v>53</v>
      </c>
      <c r="J10" s="241">
        <v>12</v>
      </c>
    </row>
    <row r="11" spans="1:10" ht="33.6" customHeight="1" thickBot="1">
      <c r="A11" s="235"/>
      <c r="B11" s="33" t="s">
        <v>96</v>
      </c>
      <c r="C11" s="235"/>
      <c r="D11" s="27" t="str">
        <f>IF(D10=0, "", IF(MOD(D10, $C$10) = 0, D10 / $C$10, IF(INT(D10 / $C$10) = 0, MOD(D10, $C$10) &amp; " P", INT(D10 / $C$10) &amp; " + " &amp; MOD(D10, $C$10) &amp; " P")))</f>
        <v>10 P</v>
      </c>
      <c r="E11" s="28" t="str">
        <f>IF(E10=0, "", IF(MOD(E10, $C$10) = 0, E10 / $C$10, IF(INT(E10 / $C$10) = 0, MOD(E10, $C$10) &amp; " P", INT(E10 / $C$10) &amp; " + " &amp; MOD(E10, $C$10) &amp; " P")))</f>
        <v>12 P</v>
      </c>
      <c r="F11" s="28" t="str">
        <f>IF(F10=0, "", IF(MOD(F10, $C$10) = 0, F10 / $C$10, IF(INT(F10 / $C$10) = 0, MOD(F10, $C$10) &amp; " P", INT(F10 / $C$10) &amp; " + " &amp; MOD(F10, $C$10) &amp; " P")))</f>
        <v>31 P</v>
      </c>
      <c r="G11" s="28" t="str">
        <f>IF(G10=0, "", IF(MOD(G10, $C$10) = 0, G10 / $C$10, IF(INT(G10 / $C$10) = 0, MOD(G10, $C$10) &amp; " P", INT(G10 / $C$10) &amp; " + " &amp; MOD(G10, $C$10) &amp; " P")))</f>
        <v/>
      </c>
      <c r="H11" s="28" t="str">
        <f>IF(H10=0, "", IF(MOD(H10, $C$10) = 0, H10 / $C$10, IF(INT(H10 / $C$10) = 0, MOD(H10, $C$10) &amp; " P", INT(H10 / $C$10) &amp; " + " &amp; MOD(H10, $C$10) &amp; " P")))</f>
        <v/>
      </c>
      <c r="I11" s="240"/>
      <c r="J11" s="242"/>
    </row>
    <row r="12" spans="1:10" ht="33.6" customHeight="1">
      <c r="A12" s="234">
        <v>2</v>
      </c>
      <c r="B12" s="32" t="s">
        <v>62</v>
      </c>
      <c r="C12" s="234">
        <v>32</v>
      </c>
      <c r="D12" s="26">
        <f>'สุวรรณภูมิ-ผลิต'!K9</f>
        <v>22</v>
      </c>
      <c r="E12" s="26">
        <f>'สุวรรณภูมิ-ผลิต'!L9</f>
        <v>65</v>
      </c>
      <c r="F12" s="26">
        <f>'สุวรรณภูมิ-ผลิต'!M9</f>
        <v>92</v>
      </c>
      <c r="G12" s="26">
        <f>'สุวรรณภูมิ-ผลิต'!N9</f>
        <v>0</v>
      </c>
      <c r="H12" s="26">
        <f>'สุวรรณภูมิ-ผลิต'!O9</f>
        <v>0</v>
      </c>
      <c r="I12" s="239">
        <f t="shared" ref="I12" si="0">SUM(D12:H12)</f>
        <v>179</v>
      </c>
      <c r="J12" s="241">
        <v>7</v>
      </c>
    </row>
    <row r="13" spans="1:10" ht="33.6" customHeight="1" thickBot="1">
      <c r="A13" s="235"/>
      <c r="B13" s="33" t="s">
        <v>97</v>
      </c>
      <c r="C13" s="235"/>
      <c r="D13" s="30" t="str">
        <f>IF(D12=0, "", IF(MOD(D12, $C$12) = 0, D12 / $C$12, IF(INT(D12 / $C$12) = 0, MOD(D12, $C$12) &amp; " P", INT(D12 / $C$12) &amp; " + " &amp; MOD(D12, $C$12) &amp; " P")))</f>
        <v>22 P</v>
      </c>
      <c r="E13" s="29" t="str">
        <f>IF(E12=0, "", IF(MOD(E12, $C$12) = 0, E12 / $C$12, IF(INT(E12 / $C$12) = 0, MOD(E12, $C$12) &amp; " P", INT(E12 / $C$12) &amp; " + " &amp; MOD(E12, $C$12) &amp; " P")))</f>
        <v>2 + 1 P</v>
      </c>
      <c r="F13" s="29" t="str">
        <f>IF(F12=0, "", IF(MOD(F12, $C$12) = 0, F12 / $C$12, IF(INT(F12 / $C$12) = 0, MOD(F12, $C$12) &amp; " P", INT(F12 / $C$12) &amp; " + " &amp; MOD(F12, $C$12) &amp; " P")))</f>
        <v>2 + 28 P</v>
      </c>
      <c r="G13" s="29" t="str">
        <f>IF(G12=0, "", IF(MOD(G12, $C$12) = 0, G12 / $C$12, IF(INT(G12 / $C$12) = 0, MOD(G12, $C$12) &amp; " P", INT(G12 / $C$12) &amp; " + " &amp; MOD(G12, $C$12) &amp; " P")))</f>
        <v/>
      </c>
      <c r="H13" s="29" t="str">
        <f>IF(H12=0, "", IF(MOD(H12, $C$12) = 0, H12 / $C$12, IF(INT(H12 / $C$12) = 0, MOD(H12, $C$12) &amp; " P", INT(H12 / $C$12) &amp; " + " &amp; MOD(H12, $C$12) &amp; " P")))</f>
        <v/>
      </c>
      <c r="I13" s="240"/>
      <c r="J13" s="242"/>
    </row>
    <row r="14" spans="1:10" ht="33.6" customHeight="1">
      <c r="A14" s="234">
        <v>4</v>
      </c>
      <c r="B14" s="34" t="s">
        <v>92</v>
      </c>
      <c r="C14" s="237">
        <v>27</v>
      </c>
      <c r="D14" s="26" t="e">
        <f>'สุวรรณภูมิ-ผลิต'!#REF!</f>
        <v>#REF!</v>
      </c>
      <c r="E14" s="26" t="e">
        <f>'สุวรรณภูมิ-ผลิต'!#REF!</f>
        <v>#REF!</v>
      </c>
      <c r="F14" s="26" t="e">
        <f>'สุวรรณภูมิ-ผลิต'!#REF!</f>
        <v>#REF!</v>
      </c>
      <c r="G14" s="26" t="e">
        <f>'สุวรรณภูมิ-ผลิต'!#REF!</f>
        <v>#REF!</v>
      </c>
      <c r="H14" s="26" t="e">
        <f>'สุวรรณภูมิ-ผลิต'!#REF!</f>
        <v>#REF!</v>
      </c>
      <c r="I14" s="239" t="e">
        <f t="shared" ref="I14" si="1">SUM(D14:H14)</f>
        <v>#REF!</v>
      </c>
      <c r="J14" s="241">
        <v>2</v>
      </c>
    </row>
    <row r="15" spans="1:10" ht="33.6" customHeight="1" thickBot="1">
      <c r="A15" s="235"/>
      <c r="B15" s="33" t="s">
        <v>98</v>
      </c>
      <c r="C15" s="238"/>
      <c r="D15" s="30" t="e">
        <f>IF(D14=0, "", IF( MOD(D14,#REF!) = 0, D14 /#REF!, IF(INT(D14 /#REF!) = 0, MOD(D14,#REF!) &amp; " P", INT(D14 /#REF!) &amp; " + " &amp; MOD(D14,#REF!) &amp; " P")))</f>
        <v>#REF!</v>
      </c>
      <c r="E15" s="30" t="e">
        <f>IF(E14=0, "", IF( MOD(E14,#REF!) = 0, E14 /#REF!, IF(INT(E14 /#REF!) = 0, MOD(E14,#REF!) &amp; " P", INT(E14 /#REF!) &amp; " + " &amp; MOD(E14,#REF!) &amp; " P")))</f>
        <v>#REF!</v>
      </c>
      <c r="F15" s="30" t="e">
        <f>IF(F14=0, "", IF( MOD(F14,#REF!) = 0, F14 /#REF!, IF(INT(F14 /#REF!) = 0, MOD(F14,#REF!) &amp; " P", INT(F14 /#REF!) &amp; " + " &amp; MOD(F14,#REF!) &amp; " P")))</f>
        <v>#REF!</v>
      </c>
      <c r="G15" s="30" t="e">
        <f>IF(G14=0, "", IF( MOD(G14,#REF!) = 0, G14 /#REF!, IF(INT(G14 /#REF!) = 0, MOD(G14,#REF!) &amp; " P", INT(G14 /#REF!) &amp; " + " &amp; MOD(G14,#REF!) &amp; " P")))</f>
        <v>#REF!</v>
      </c>
      <c r="H15" s="30" t="e">
        <f>IF(H14=0, "", IF( MOD(H14,#REF!) = 0, H14 /#REF!, IF(INT(H14 /#REF!) = 0, MOD(H14,#REF!) &amp; " P", INT(H14 /#REF!) &amp; " + " &amp; MOD(H14,#REF!) &amp; " P")))</f>
        <v>#REF!</v>
      </c>
      <c r="I15" s="240"/>
      <c r="J15" s="242"/>
    </row>
    <row r="16" spans="1:10" ht="33.6" customHeight="1">
      <c r="A16" s="234">
        <v>5</v>
      </c>
      <c r="B16" s="35" t="s">
        <v>63</v>
      </c>
      <c r="C16" s="237">
        <v>36</v>
      </c>
      <c r="D16" s="26" t="e">
        <f>'สุวรรณภูมิ-ผลิต'!#REF!</f>
        <v>#REF!</v>
      </c>
      <c r="E16" s="26" t="e">
        <f>'สุวรรณภูมิ-ผลิต'!#REF!</f>
        <v>#REF!</v>
      </c>
      <c r="F16" s="26" t="e">
        <f>'สุวรรณภูมิ-ผลิต'!#REF!</f>
        <v>#REF!</v>
      </c>
      <c r="G16" s="26" t="e">
        <f>'สุวรรณภูมิ-ผลิต'!#REF!</f>
        <v>#REF!</v>
      </c>
      <c r="H16" s="26" t="e">
        <f>'สุวรรณภูมิ-ผลิต'!#REF!</f>
        <v>#REF!</v>
      </c>
      <c r="I16" s="239" t="e">
        <f>SUM(D16:H16)</f>
        <v>#REF!</v>
      </c>
      <c r="J16" s="241">
        <v>6</v>
      </c>
    </row>
    <row r="17" spans="1:10" ht="33.6" customHeight="1" thickBot="1">
      <c r="A17" s="235"/>
      <c r="B17" s="33" t="s">
        <v>99</v>
      </c>
      <c r="C17" s="238"/>
      <c r="D17" s="30" t="e">
        <f>IF(D16=0, "", IF(MOD(D16, $C$16) = 0, D16 / $C$16, IF(INT(D16 / $C$16) = 0, MOD(D16, $C$16) &amp; " P", INT(D16 / $C$16) &amp; " + " &amp; MOD(D16, $C$16) &amp; " P")))</f>
        <v>#REF!</v>
      </c>
      <c r="E17" s="29" t="e">
        <f>IF(E16=0, "", IF(MOD(E16, $C$16) = 0, E16 / $C$16, IF(INT(E16 / $C$16) = 0, MOD(E16, $C$16) &amp; " P", INT(E16 / $C$16) &amp; " + " &amp; MOD(E16, $C$16) &amp; " P")))</f>
        <v>#REF!</v>
      </c>
      <c r="F17" s="29" t="e">
        <f>IF(F16=0, "", IF(MOD(F16, $C$16) = 0, F16 / $C$16, IF(INT(F16 / $C$16) = 0, MOD(F16, $C$16) &amp; " P", INT(F16 / $C$16) &amp; " + " &amp; MOD(F16, $C$16) &amp; " P")))</f>
        <v>#REF!</v>
      </c>
      <c r="G17" s="29" t="e">
        <f>IF(G16=0, "", IF(MOD(G16, $C$16) = 0, G16 / $C$16, IF(INT(G16 / $C$16) = 0, MOD(G16, $C$16) &amp; " P", INT(G16 / $C$16) &amp; " + " &amp; MOD(G16, $C$16) &amp; " P")))</f>
        <v>#REF!</v>
      </c>
      <c r="H17" s="29" t="e">
        <f>IF(H16=0, "", IF(MOD(H16, $C$16) = 0, H16 / $C$16, IF(INT(H16 / $C$16) = 0, MOD(H16, $C$16) &amp; " P", INT(H16 / $C$16) &amp; " + " &amp; MOD(H16, $C$16) &amp; " P")))</f>
        <v>#REF!</v>
      </c>
      <c r="I17" s="240"/>
      <c r="J17" s="242"/>
    </row>
    <row r="18" spans="1:10" ht="33.6" customHeight="1">
      <c r="A18" s="234">
        <v>6</v>
      </c>
      <c r="B18" s="35" t="s">
        <v>64</v>
      </c>
      <c r="C18" s="237">
        <v>15</v>
      </c>
      <c r="D18" s="26">
        <f>'สุวรรณภูมิ-ผลิต'!K11</f>
        <v>7</v>
      </c>
      <c r="E18" s="26">
        <f>'สุวรรณภูมิ-ผลิต'!L11</f>
        <v>24</v>
      </c>
      <c r="F18" s="26">
        <f>'สุวรรณภูมิ-ผลิต'!M11</f>
        <v>25</v>
      </c>
      <c r="G18" s="26">
        <f>'สุวรรณภูมิ-ผลิต'!N11</f>
        <v>0</v>
      </c>
      <c r="H18" s="26">
        <f>'สุวรรณภูมิ-ผลิต'!O11</f>
        <v>0</v>
      </c>
      <c r="I18" s="239">
        <f t="shared" ref="I18" si="2">SUM(D18:H18)</f>
        <v>56</v>
      </c>
      <c r="J18" s="241">
        <v>6</v>
      </c>
    </row>
    <row r="19" spans="1:10" ht="33.6" customHeight="1" thickBot="1">
      <c r="A19" s="235"/>
      <c r="B19" s="33" t="s">
        <v>100</v>
      </c>
      <c r="C19" s="238"/>
      <c r="D19" s="30" t="str">
        <f>IF(D18=0, "", IF(MOD(D18, $C$18) = 0, D18/ $C$18, IF(INT(D18 / $C$18) = 0, MOD(D18, $C$18) &amp; " P", INT(D18 / $C$18) &amp; " + " &amp; MOD(D18, $C$18) &amp; " P")))</f>
        <v>7 P</v>
      </c>
      <c r="E19" s="29" t="str">
        <f>IF(E18=0, "", IF(MOD(E18, $C$18) = 0, E18/ $C$18, IF(INT(E18 / $C$18) = 0, MOD(E18, $C$18) &amp; " P", INT(E18 / $C$18) &amp; " + " &amp; MOD(E18, $C$18) &amp; " P")))</f>
        <v>1 + 9 P</v>
      </c>
      <c r="F19" s="29" t="str">
        <f>IF(F18=0, "", IF(MOD(F18, $C$18) = 0, F18/ $C$18, IF(INT(F18 / $C$18) = 0, MOD(F18, $C$18) &amp; " P", INT(F18 / $C$18) &amp; " + " &amp; MOD(F18, $C$18) &amp; " P")))</f>
        <v>1 + 10 P</v>
      </c>
      <c r="G19" s="29" t="str">
        <f>IF(G18=0, "", IF(MOD(G18, $C$18) = 0, G18/ $C$18, IF(INT(G18 / $C$18) = 0, MOD(G18, $C$18) &amp; " P", INT(G18 / $C$18) &amp; " + " &amp; MOD(G18, $C$18) &amp; " P")))</f>
        <v/>
      </c>
      <c r="H19" s="29" t="str">
        <f>IF(H18=0, "", IF(MOD(H18, $C$18) = 0, H18/ $C$18, IF(INT(H18 / $C$18) = 0, MOD(H18, $C$18) &amp; " P", INT(H18 / $C$18) &amp; " + " &amp; MOD(H18, $C$18) &amp; " P")))</f>
        <v/>
      </c>
      <c r="I19" s="240"/>
      <c r="J19" s="242"/>
    </row>
    <row r="20" spans="1:10" ht="33.6" customHeight="1">
      <c r="A20" s="234">
        <v>7</v>
      </c>
      <c r="B20" s="35" t="s">
        <v>65</v>
      </c>
      <c r="C20" s="237">
        <v>45</v>
      </c>
      <c r="D20" s="26">
        <f>'สุวรรณภูมิ-ผลิต'!K17</f>
        <v>9</v>
      </c>
      <c r="E20" s="26">
        <f>'สุวรรณภูมิ-ผลิต'!L17</f>
        <v>20</v>
      </c>
      <c r="F20" s="26">
        <f>'สุวรรณภูมิ-ผลิต'!M17</f>
        <v>43</v>
      </c>
      <c r="G20" s="26">
        <f>'สุวรรณภูมิ-ผลิต'!N17</f>
        <v>0</v>
      </c>
      <c r="H20" s="26">
        <f>'สุวรรณภูมิ-ผลิต'!O17</f>
        <v>0</v>
      </c>
      <c r="I20" s="239">
        <f t="shared" ref="I20" si="3">SUM(D20:H20)</f>
        <v>72</v>
      </c>
      <c r="J20" s="241">
        <v>4</v>
      </c>
    </row>
    <row r="21" spans="1:10" ht="33.6" customHeight="1" thickBot="1">
      <c r="A21" s="235"/>
      <c r="B21" s="33" t="s">
        <v>101</v>
      </c>
      <c r="C21" s="238"/>
      <c r="D21" s="30" t="str">
        <f>IF(D20=0, "", IF(MOD(D20, $C$20) = 0, D20/ $C$20, IF(INT(D20 / $C$20) = 0, MOD(D20, $C$20) &amp; " P", INT(D20 / $C$20) &amp; " + " &amp; MOD(D20, $C$20) &amp; " P")))</f>
        <v>9 P</v>
      </c>
      <c r="E21" s="29" t="str">
        <f>IF(E20=0, "", IF(MOD(E20, $C$20) = 0, E20/ $C$20, IF(INT(E20 / $C$20) = 0, MOD(E20, $C$20) &amp; " P", INT(E20 / $C$20) &amp; " + " &amp; MOD(E20, $C$20) &amp; " P")))</f>
        <v>20 P</v>
      </c>
      <c r="F21" s="29" t="str">
        <f>IF(F20=0, "", IF(MOD(F20, $C$20) = 0, F20/ $C$20, IF(INT(F20 / $C$20) = 0, MOD(F20, $C$20) &amp; " P", INT(F20 / $C$20) &amp; " + " &amp; MOD(F20, $C$20) &amp; " P")))</f>
        <v>43 P</v>
      </c>
      <c r="G21" s="29" t="str">
        <f>IF(G20=0, "", IF(MOD(G20, $C$20) = 0, G20/ $C$20, IF(INT(G20 / $C$20) = 0, MOD(G20, $C$20) &amp; " P", INT(G20 / $C$20) &amp; " + " &amp; MOD(G20, $C$20) &amp; " P")))</f>
        <v/>
      </c>
      <c r="H21" s="29" t="str">
        <f>IF(H20=0, "", IF(MOD(H20, $C$20) = 0, H20/ $C$20, IF(INT(H20 / $C$20) = 0, MOD(H20, $C$20) &amp; " P", INT(H20 / $C$20) &amp; " + " &amp; MOD(H20, $C$20) &amp; " P")))</f>
        <v/>
      </c>
      <c r="I21" s="240"/>
      <c r="J21" s="242"/>
    </row>
    <row r="22" spans="1:10" ht="33.6" customHeight="1">
      <c r="A22" s="234">
        <v>9</v>
      </c>
      <c r="B22" s="36" t="s">
        <v>93</v>
      </c>
      <c r="C22" s="237">
        <v>45</v>
      </c>
      <c r="D22" s="31">
        <f>'สุวรรณภูมิ-ผลิต'!K21</f>
        <v>13</v>
      </c>
      <c r="E22" s="31">
        <f>'สุวรรณภูมิ-ผลิต'!L21</f>
        <v>20</v>
      </c>
      <c r="F22" s="31">
        <f>'สุวรรณภูมิ-ผลิต'!M21</f>
        <v>19</v>
      </c>
      <c r="G22" s="31">
        <f>'สุวรรณภูมิ-ผลิต'!N21</f>
        <v>0</v>
      </c>
      <c r="H22" s="31">
        <f>'สุวรรณภูมิ-ผลิต'!O21</f>
        <v>0</v>
      </c>
      <c r="I22" s="239">
        <f t="shared" ref="I22" si="4">SUM(D22:H22)</f>
        <v>52</v>
      </c>
      <c r="J22" s="241">
        <v>5</v>
      </c>
    </row>
    <row r="23" spans="1:10" ht="33.6" customHeight="1" thickBot="1">
      <c r="A23" s="235"/>
      <c r="B23" s="33" t="s">
        <v>102</v>
      </c>
      <c r="C23" s="238"/>
      <c r="D23" s="30" t="str">
        <f>IF(D22=0, "", IF(MOD(D22, $C$22) = 0, D22/ $C$22, IF(INT(D22 / $C$22) = 0, MOD(D22, $C$22) &amp; " P", INT(D22 / $C$22) &amp; " + " &amp; MOD(D22, $C$22) &amp; " P")))</f>
        <v>13 P</v>
      </c>
      <c r="E23" s="30" t="str">
        <f t="shared" ref="E23:H23" si="5">IF(E22=0, "", IF(MOD(E22, $C$22) = 0, E22/ $C$22, IF(INT(E22 / $C$22) = 0, MOD(E22, $C$22) &amp; " P", INT(E22 / $C$22) &amp; " + " &amp; MOD(E22, $C$22) &amp; " P")))</f>
        <v>20 P</v>
      </c>
      <c r="F23" s="30" t="str">
        <f t="shared" si="5"/>
        <v>19 P</v>
      </c>
      <c r="G23" s="30" t="str">
        <f t="shared" si="5"/>
        <v/>
      </c>
      <c r="H23" s="30" t="str">
        <f t="shared" si="5"/>
        <v/>
      </c>
      <c r="I23" s="240"/>
      <c r="J23" s="242"/>
    </row>
    <row r="24" spans="1:10" ht="33.6" customHeight="1">
      <c r="A24" s="234">
        <v>10</v>
      </c>
      <c r="B24" s="36" t="s">
        <v>94</v>
      </c>
      <c r="C24" s="237">
        <v>27</v>
      </c>
      <c r="D24" s="31" t="e">
        <f>'สุวรรณภูมิ-ผลิต'!#REF!</f>
        <v>#REF!</v>
      </c>
      <c r="E24" s="31" t="e">
        <f>'สุวรรณภูมิ-ผลิต'!#REF!</f>
        <v>#REF!</v>
      </c>
      <c r="F24" s="31" t="e">
        <f>'สุวรรณภูมิ-ผลิต'!#REF!</f>
        <v>#REF!</v>
      </c>
      <c r="G24" s="31" t="e">
        <f>'สุวรรณภูมิ-ผลิต'!#REF!</f>
        <v>#REF!</v>
      </c>
      <c r="H24" s="31" t="e">
        <f>'สุวรรณภูมิ-ผลิต'!#REF!</f>
        <v>#REF!</v>
      </c>
      <c r="I24" s="239" t="e">
        <f t="shared" ref="I24" si="6">SUM(D24:H24)</f>
        <v>#REF!</v>
      </c>
      <c r="J24" s="241">
        <v>20</v>
      </c>
    </row>
    <row r="25" spans="1:10" ht="33.6" customHeight="1" thickBot="1">
      <c r="A25" s="235"/>
      <c r="B25" s="33" t="s">
        <v>103</v>
      </c>
      <c r="C25" s="238"/>
      <c r="D25" s="30" t="e">
        <f>IF(D24=0, "", IF(MOD(D24, $C$24) = 0, D24/ $C$24, IF(INT(D24 / $C$24) = 0, MOD(D24, $C$24) &amp; " P", INT(D24 / $C$24) &amp; " + " &amp; MOD(D24, $C$24) &amp; " P")))</f>
        <v>#REF!</v>
      </c>
      <c r="E25" s="30" t="e">
        <f t="shared" ref="E25:H25" si="7">IF(E24=0, "", IF(MOD(E24, $C$24) = 0, E24/ $C$24, IF(INT(E24 / $C$24) = 0, MOD(E24, $C$24) &amp; " P", INT(E24 / $C$24) &amp; " + " &amp; MOD(E24, $C$24) &amp; " P")))</f>
        <v>#REF!</v>
      </c>
      <c r="F25" s="30" t="e">
        <f t="shared" si="7"/>
        <v>#REF!</v>
      </c>
      <c r="G25" s="30" t="e">
        <f t="shared" si="7"/>
        <v>#REF!</v>
      </c>
      <c r="H25" s="30" t="e">
        <f t="shared" si="7"/>
        <v>#REF!</v>
      </c>
      <c r="I25" s="240"/>
      <c r="J25" s="242"/>
    </row>
    <row r="26" spans="1:10" ht="33.6" customHeight="1">
      <c r="A26" s="234">
        <v>12</v>
      </c>
      <c r="B26" s="35" t="s">
        <v>66</v>
      </c>
      <c r="C26" s="237">
        <v>27</v>
      </c>
      <c r="D26" s="26" t="e">
        <f>'สุวรรณภูมิ-ผลิต'!#REF!</f>
        <v>#REF!</v>
      </c>
      <c r="E26" s="26" t="e">
        <f>'สุวรรณภูมิ-ผลิต'!#REF!</f>
        <v>#REF!</v>
      </c>
      <c r="F26" s="26" t="e">
        <f>'สุวรรณภูมิ-ผลิต'!#REF!</f>
        <v>#REF!</v>
      </c>
      <c r="G26" s="26" t="e">
        <f>'สุวรรณภูมิ-ผลิต'!#REF!</f>
        <v>#REF!</v>
      </c>
      <c r="H26" s="26" t="e">
        <f>'สุวรรณภูมิ-ผลิต'!#REF!</f>
        <v>#REF!</v>
      </c>
      <c r="I26" s="239" t="e">
        <f t="shared" ref="I26" si="8">SUM(D26:H26)</f>
        <v>#REF!</v>
      </c>
      <c r="J26" s="241">
        <v>5</v>
      </c>
    </row>
    <row r="27" spans="1:10" ht="33.6" customHeight="1" thickBot="1">
      <c r="A27" s="235"/>
      <c r="B27" s="33" t="s">
        <v>104</v>
      </c>
      <c r="C27" s="238"/>
      <c r="D27" s="30" t="e">
        <f>IF(D26=0, "", IF(MOD(D26, $C$26) = 0, D26/ $C$26, IF(INT(D26 / $C$26) = 0, MOD(D26, $C$26) &amp; " P", INT(D26 / $C$26) &amp; " + " &amp; MOD(D26, $C$26) &amp; " P")))</f>
        <v>#REF!</v>
      </c>
      <c r="E27" s="29" t="e">
        <f>IF(E26=0, "", IF(MOD(E26, $C$26) = 0, E26/ $C$26, IF(INT(E26 / $C$26) = 0, MOD(E26, $C$26) &amp; " P", INT(E26 / $C$26) &amp; " + " &amp; MOD(E26, $C$26) &amp; " P")))</f>
        <v>#REF!</v>
      </c>
      <c r="F27" s="29" t="e">
        <f>IF(F26=0, "", IF(MOD(F26, $C$26) = 0, F26/ $C$26, IF(INT(F26 / $C$26) = 0, MOD(F26, $C$26) &amp; " P", INT(F26 / $C$26) &amp; " + " &amp; MOD(F26, $C$26) &amp; " P")))</f>
        <v>#REF!</v>
      </c>
      <c r="G27" s="29" t="e">
        <f>IF(G26=0, "", IF(MOD(G26, $C$26) = 0, G26/ $C$26, IF(INT(G26 / $C$26) = 0, MOD(G26, $C$26) &amp; " P", INT(G26 / $C$26) &amp; " + " &amp; MOD(G26, $C$26) &amp; " P")))</f>
        <v>#REF!</v>
      </c>
      <c r="H27" s="29" t="e">
        <f>IF(H26=0, "", IF(MOD(H26, $C$26) = 0, H26/ $C$26, IF(INT(H26 / $C$26) = 0, MOD(H26, $C$26) &amp; " P", INT(H26 / $C$26) &amp; " + " &amp; MOD(H26, $C$26) &amp; " P")))</f>
        <v>#REF!</v>
      </c>
      <c r="I27" s="240"/>
      <c r="J27" s="242"/>
    </row>
    <row r="28" spans="1:10" ht="33.6" customHeight="1">
      <c r="A28" s="234">
        <v>13</v>
      </c>
      <c r="B28" s="35" t="s">
        <v>67</v>
      </c>
      <c r="C28" s="237">
        <v>20</v>
      </c>
      <c r="D28" s="26">
        <f>'สุวรรณภูมิ-ผลิต'!K23</f>
        <v>27</v>
      </c>
      <c r="E28" s="26">
        <f>'สุวรรณภูมิ-ผลิต'!L23</f>
        <v>43</v>
      </c>
      <c r="F28" s="26">
        <f>'สุวรรณภูมิ-ผลิต'!M23</f>
        <v>82</v>
      </c>
      <c r="G28" s="26">
        <f>'สุวรรณภูมิ-ผลิต'!N23</f>
        <v>0</v>
      </c>
      <c r="H28" s="26">
        <f>'สุวรรณภูมิ-ผลิต'!O23</f>
        <v>0</v>
      </c>
      <c r="I28" s="239">
        <f t="shared" ref="I28" si="9">SUM(D28:H28)</f>
        <v>152</v>
      </c>
      <c r="J28" s="241">
        <v>9</v>
      </c>
    </row>
    <row r="29" spans="1:10" ht="33.6" customHeight="1" thickBot="1">
      <c r="A29" s="235"/>
      <c r="B29" s="33" t="s">
        <v>105</v>
      </c>
      <c r="C29" s="238"/>
      <c r="D29" s="30" t="str">
        <f>IF(D28=0, "", IF(MOD(D28, $C$28) = 0, D28/ $C$28, IF(INT(D28 / $C$28) = 0, MOD(D28, $C$28) &amp; " P", INT(D28 / $C$28) &amp; " + " &amp; MOD(D28, $C$28) &amp; " P")))</f>
        <v>1 + 7 P</v>
      </c>
      <c r="E29" s="29" t="str">
        <f>IF(E28=0, "", IF(MOD(E28, $C$28) = 0, E28/ $C$28, IF(INT(E28 / $C$28) = 0, MOD(E28, $C$28) &amp; " P", INT(E28 / $C$28) &amp; " + " &amp; MOD(E28, $C$28) &amp; " P")))</f>
        <v>2 + 3 P</v>
      </c>
      <c r="F29" s="29" t="str">
        <f>IF(F28=0, "", IF(MOD(F28, $C$28) = 0, F28/ $C$28, IF(INT(F28 / $C$28) = 0, MOD(F28, $C$28) &amp; " P", INT(F28 / $C$28) &amp; " + " &amp; MOD(F28, $C$28) &amp; " P")))</f>
        <v>4 + 2 P</v>
      </c>
      <c r="G29" s="29" t="str">
        <f>IF(G28=0, "", IF(MOD(G28, $C$28) = 0, G28/ $C$28, IF(INT(G28 / $C$28) = 0, MOD(G28, $C$28) &amp; " P", INT(G28 / $C$28) &amp; " + " &amp; MOD(G28, $C$28) &amp; " P")))</f>
        <v/>
      </c>
      <c r="H29" s="29" t="str">
        <f>IF(H28=0, "", IF(MOD(H28, $C$28) = 0, H28/ $C$28, IF(INT(H28 / $C$28) = 0, MOD(H28, $C$28) &amp; " P", INT(H28 / $C$28) &amp; " + " &amp; MOD(H28, $C$28) &amp; " P")))</f>
        <v/>
      </c>
      <c r="I29" s="240"/>
      <c r="J29" s="242"/>
    </row>
    <row r="30" spans="1:10" ht="33.6" customHeight="1">
      <c r="A30" s="234">
        <v>14</v>
      </c>
      <c r="B30" s="37" t="s">
        <v>108</v>
      </c>
      <c r="C30" s="237">
        <v>32</v>
      </c>
      <c r="D30" s="26" t="e">
        <f>'สุวรรณภูมิ-ผลิต'!#REF!</f>
        <v>#REF!</v>
      </c>
      <c r="E30" s="26" t="e">
        <f>'สุวรรณภูมิ-ผลิต'!#REF!</f>
        <v>#REF!</v>
      </c>
      <c r="F30" s="26" t="e">
        <f>'สุวรรณภูมิ-ผลิต'!#REF!</f>
        <v>#REF!</v>
      </c>
      <c r="G30" s="26" t="e">
        <f>'สุวรรณภูมิ-ผลิต'!#REF!</f>
        <v>#REF!</v>
      </c>
      <c r="H30" s="26" t="e">
        <f>'สุวรรณภูมิ-ผลิต'!#REF!</f>
        <v>#REF!</v>
      </c>
      <c r="I30" s="239" t="e">
        <f t="shared" ref="I30" si="10">SUM(D30:H30)</f>
        <v>#REF!</v>
      </c>
      <c r="J30" s="241">
        <v>4</v>
      </c>
    </row>
    <row r="31" spans="1:10" ht="33.6" customHeight="1" thickBot="1">
      <c r="A31" s="235"/>
      <c r="B31" s="38" t="s">
        <v>109</v>
      </c>
      <c r="C31" s="238"/>
      <c r="D31" s="30" t="e">
        <f>IF(D30=0, "", IF(MOD(D30, $C$30) = 0, D30/ $C$30, IF(INT(D30 / $C$30) = 0, MOD(D30, $C$30) &amp; " P", INT(D30 / $C$30) &amp; " + " &amp; MOD(D30, $C$30) &amp; " P")))</f>
        <v>#REF!</v>
      </c>
      <c r="E31" s="29" t="e">
        <f>IF(E30=0, "", IF(MOD(E30, $C$30) = 0, E30/ $C$30, IF(INT(E30 / $C$30) = 0, MOD(E30, $C$30) &amp; " P", INT(E30 / $C$30) &amp; " + " &amp; MOD(E30, $C$30) &amp; " P")))</f>
        <v>#REF!</v>
      </c>
      <c r="F31" s="29" t="e">
        <f>IF(F30=0, "", IF(MOD(F30, $C$30) = 0, F30/ $C$30, IF(INT(F30 / $C$30) = 0, MOD(F30, $C$30) &amp; " P", INT(F30 / $C$30) &amp; " + " &amp; MOD(F30, $C$30) &amp; " P")))</f>
        <v>#REF!</v>
      </c>
      <c r="G31" s="29" t="e">
        <f>IF(G30=0, "", IF(MOD(G30, $C$30) = 0, G30/ $C$30, IF(INT(G30 / $C$30) = 0, MOD(G30, $C$30) &amp; " P", INT(G30 / $C$30) &amp; " + " &amp; MOD(G30, $C$30) &amp; " P")))</f>
        <v>#REF!</v>
      </c>
      <c r="H31" s="29" t="e">
        <f>IF(H30=0, "", IF(MOD(H30, $C$30) = 0, H30/ $C$30, IF(INT(H30 / $C$30) = 0, MOD(H30, $C$30) &amp; " P", INT(H30 / $C$30) &amp; " + " &amp; MOD(H30, $C$30) &amp; " P")))</f>
        <v>#REF!</v>
      </c>
      <c r="I31" s="240"/>
      <c r="J31" s="242"/>
    </row>
    <row r="32" spans="1:10" ht="33.6" customHeight="1" thickBot="1">
      <c r="A32" s="234">
        <v>16</v>
      </c>
      <c r="B32" s="36" t="s">
        <v>68</v>
      </c>
      <c r="C32" s="236">
        <v>32</v>
      </c>
      <c r="D32" s="26" t="e">
        <f>'สุวรรณภูมิ-ผลิต'!#REF!</f>
        <v>#REF!</v>
      </c>
      <c r="E32" s="26" t="e">
        <f>'สุวรรณภูมิ-ผลิต'!#REF!</f>
        <v>#REF!</v>
      </c>
      <c r="F32" s="26" t="e">
        <f>'สุวรรณภูมิ-ผลิต'!#REF!</f>
        <v>#REF!</v>
      </c>
      <c r="G32" s="26" t="e">
        <f>'สุวรรณภูมิ-ผลิต'!#REF!</f>
        <v>#REF!</v>
      </c>
      <c r="H32" s="26" t="e">
        <f>'สุวรรณภูมิ-ผลิต'!#REF!</f>
        <v>#REF!</v>
      </c>
      <c r="I32" s="239" t="e">
        <f t="shared" ref="I32" si="11">SUM(D32:H32)</f>
        <v>#REF!</v>
      </c>
      <c r="J32" s="270">
        <v>4</v>
      </c>
    </row>
    <row r="33" spans="1:16" ht="33.6" customHeight="1" thickBot="1">
      <c r="A33" s="235"/>
      <c r="B33" s="33" t="s">
        <v>106</v>
      </c>
      <c r="C33" s="236"/>
      <c r="D33" s="30" t="e">
        <f>IF(D32=0, "", IF(MOD(D32, $C$32) = 0, D32/ $C$32, IF(INT(D32 / $C$32) = 0, MOD(D32, $C$32) &amp; " P", INT(D32 / $C$32) &amp; " + " &amp; MOD(D32, $C$32) &amp; " P")))</f>
        <v>#REF!</v>
      </c>
      <c r="E33" s="30" t="e">
        <f t="shared" ref="E33:H33" si="12">IF(E32=0, "", IF(MOD(E32, $C$32) = 0, E32/ $C$32, IF(INT(E32 / $C$32) = 0, MOD(E32, $C$32) &amp; " P", INT(E32 / $C$32) &amp; " + " &amp; MOD(E32, $C$32) &amp; " P")))</f>
        <v>#REF!</v>
      </c>
      <c r="F33" s="30" t="e">
        <f t="shared" si="12"/>
        <v>#REF!</v>
      </c>
      <c r="G33" s="30" t="e">
        <f t="shared" si="12"/>
        <v>#REF!</v>
      </c>
      <c r="H33" s="30" t="e">
        <f t="shared" si="12"/>
        <v>#REF!</v>
      </c>
      <c r="I33" s="240"/>
      <c r="J33" s="270"/>
    </row>
    <row r="34" spans="1:16" ht="33.6" customHeight="1" thickBot="1">
      <c r="A34" s="234">
        <v>17</v>
      </c>
      <c r="B34" s="32" t="s">
        <v>95</v>
      </c>
      <c r="C34" s="236">
        <v>45</v>
      </c>
      <c r="D34" s="26" t="e">
        <f>'สุวรรณภูมิ-ผลิต'!#REF!</f>
        <v>#REF!</v>
      </c>
      <c r="E34" s="26" t="e">
        <f>'สุวรรณภูมิ-ผลิต'!#REF!</f>
        <v>#REF!</v>
      </c>
      <c r="F34" s="26" t="e">
        <f>'สุวรรณภูมิ-ผลิต'!#REF!</f>
        <v>#REF!</v>
      </c>
      <c r="G34" s="26" t="e">
        <f>'สุวรรณภูมิ-ผลิต'!#REF!</f>
        <v>#REF!</v>
      </c>
      <c r="H34" s="26" t="e">
        <f>'สุวรรณภูมิ-ผลิต'!#REF!</f>
        <v>#REF!</v>
      </c>
      <c r="I34" s="239" t="e">
        <f t="shared" ref="I34" si="13">SUM(D34:H34)</f>
        <v>#REF!</v>
      </c>
      <c r="J34" s="270">
        <v>3</v>
      </c>
    </row>
    <row r="35" spans="1:16" ht="33.6" customHeight="1" thickBot="1">
      <c r="A35" s="235"/>
      <c r="B35" s="33" t="s">
        <v>107</v>
      </c>
      <c r="C35" s="236"/>
      <c r="D35" s="30" t="e">
        <f>IF(D34=0, "", IF(MOD(D34, $C$34) = 0, D34/ $C$34, IF(INT(D34 / $C$34) = 0, MOD(D34, $C$34) &amp; " P", INT(D34 / $C$34) &amp; " + " &amp; MOD(D34, $C$34) &amp; " P")))</f>
        <v>#REF!</v>
      </c>
      <c r="E35" s="30" t="e">
        <f t="shared" ref="E35:F35" si="14">IF(E34=0, "", IF(MOD(E34, $C$34) = 0, E34/ $C$34, IF(INT(E34 / $C$34) = 0, MOD(E34, $C$34) &amp; " P", INT(E34 / $C$34) &amp; " + " &amp; MOD(E34, $C$34) &amp; " P")))</f>
        <v>#REF!</v>
      </c>
      <c r="F35" s="30" t="e">
        <f t="shared" si="14"/>
        <v>#REF!</v>
      </c>
      <c r="G35" s="29" t="e">
        <f>IF(G34=0, "", IF(MOD(G34, $C$30) = 0, G34/ $C$30, IF(INT(G34 / $C$30) = 0, MOD(G34, $C$30) &amp; " P", INT(G34 / $C$30) &amp; " + " &amp; MOD(G34, $C$30) &amp; " P")))</f>
        <v>#REF!</v>
      </c>
      <c r="H35" s="29" t="e">
        <f>IF(H34=0, "", IF(MOD(H34, $C$30) = 0, H34/ $C$30, IF(INT(H34 / $C$30) = 0, MOD(H34, $C$30) &amp; " P", INT(H34 / $C$30) &amp; " + " &amp; MOD(H34, $C$30) &amp; " P")))</f>
        <v>#REF!</v>
      </c>
      <c r="I35" s="240"/>
      <c r="J35" s="270"/>
    </row>
    <row r="36" spans="1:16" ht="37.5" customHeight="1" thickBot="1">
      <c r="A36" s="13"/>
      <c r="B36" s="266" t="s">
        <v>40</v>
      </c>
      <c r="C36" s="267"/>
      <c r="D36" s="39">
        <v>-22</v>
      </c>
      <c r="E36" s="39">
        <v>-22</v>
      </c>
      <c r="F36" s="39">
        <v>-29</v>
      </c>
      <c r="G36" s="39">
        <v>-20</v>
      </c>
      <c r="H36" s="39">
        <v>-14</v>
      </c>
      <c r="I36" s="14" t="s">
        <v>91</v>
      </c>
      <c r="J36" s="15">
        <f>SUM(J10:J35)</f>
        <v>87</v>
      </c>
      <c r="K36" s="3"/>
      <c r="L36" s="3"/>
      <c r="M36" s="3"/>
      <c r="N36" s="4"/>
      <c r="O36" s="5"/>
    </row>
    <row r="37" spans="1:16" ht="15" customHeight="1" thickBot="1">
      <c r="P37" s="2"/>
    </row>
    <row r="38" spans="1:16" ht="33" customHeight="1" thickBot="1">
      <c r="B38" s="16"/>
      <c r="C38" s="17" t="s">
        <v>49</v>
      </c>
      <c r="D38" s="17" t="s">
        <v>53</v>
      </c>
      <c r="E38" s="17" t="s">
        <v>54</v>
      </c>
      <c r="F38" s="17" t="s">
        <v>88</v>
      </c>
      <c r="G38" s="268" t="s">
        <v>113</v>
      </c>
      <c r="H38" s="269"/>
      <c r="I38" s="269"/>
      <c r="J38" s="269"/>
      <c r="K38" s="10"/>
    </row>
    <row r="39" spans="1:16" ht="25.9" customHeight="1" thickBot="1">
      <c r="B39" s="24" t="s">
        <v>82</v>
      </c>
      <c r="C39" s="25"/>
      <c r="D39" s="25"/>
      <c r="E39" s="25"/>
      <c r="F39" s="25"/>
      <c r="G39" s="6"/>
      <c r="H39" s="6"/>
      <c r="I39" s="265" t="s">
        <v>83</v>
      </c>
      <c r="J39" s="265"/>
      <c r="K39" s="265"/>
    </row>
    <row r="40" spans="1:16" ht="25.9" customHeight="1" thickBot="1">
      <c r="B40" s="24" t="s">
        <v>84</v>
      </c>
      <c r="C40" s="25"/>
      <c r="D40" s="25"/>
      <c r="E40" s="25"/>
      <c r="F40" s="25"/>
      <c r="G40" s="6"/>
      <c r="H40" s="7"/>
      <c r="I40" s="18" t="s">
        <v>85</v>
      </c>
      <c r="J40" s="18" t="s">
        <v>59</v>
      </c>
      <c r="K40" s="19"/>
    </row>
    <row r="41" spans="1:16" ht="25.9" customHeight="1" thickBot="1">
      <c r="B41" s="24" t="s">
        <v>86</v>
      </c>
      <c r="C41" s="25"/>
      <c r="D41" s="25"/>
      <c r="E41" s="25"/>
      <c r="F41" s="25"/>
      <c r="G41" s="6"/>
      <c r="H41" s="7"/>
      <c r="I41" s="18"/>
      <c r="J41" s="18"/>
      <c r="K41" s="19"/>
    </row>
    <row r="42" spans="1:16" ht="23.25" customHeight="1" thickBot="1">
      <c r="B42" s="6"/>
      <c r="C42" s="6"/>
      <c r="D42" s="6"/>
      <c r="E42" s="6"/>
      <c r="F42" s="6"/>
      <c r="G42" s="6"/>
      <c r="H42" s="21"/>
      <c r="I42" s="22"/>
      <c r="J42" s="23"/>
      <c r="K42" s="19"/>
    </row>
    <row r="44" spans="1:16" ht="20.45" customHeight="1" thickBot="1">
      <c r="H44" s="7" t="s">
        <v>87</v>
      </c>
      <c r="I44" s="20"/>
      <c r="J44" s="20"/>
    </row>
  </sheetData>
  <mergeCells count="62">
    <mergeCell ref="D4:F5"/>
    <mergeCell ref="G4:I5"/>
    <mergeCell ref="A5:B6"/>
    <mergeCell ref="A7:B9"/>
    <mergeCell ref="C7:C9"/>
    <mergeCell ref="D7:H8"/>
    <mergeCell ref="I7:J8"/>
    <mergeCell ref="A10:A11"/>
    <mergeCell ref="C10:C11"/>
    <mergeCell ref="I10:I11"/>
    <mergeCell ref="J10:J11"/>
    <mergeCell ref="A12:A13"/>
    <mergeCell ref="C12:C13"/>
    <mergeCell ref="I12:I13"/>
    <mergeCell ref="J12:J13"/>
    <mergeCell ref="A14:A15"/>
    <mergeCell ref="C14:C15"/>
    <mergeCell ref="I14:I15"/>
    <mergeCell ref="J14:J15"/>
    <mergeCell ref="A16:A17"/>
    <mergeCell ref="C16:C17"/>
    <mergeCell ref="I16:I17"/>
    <mergeCell ref="J16:J17"/>
    <mergeCell ref="A18:A19"/>
    <mergeCell ref="C18:C19"/>
    <mergeCell ref="I18:I19"/>
    <mergeCell ref="J18:J19"/>
    <mergeCell ref="A20:A21"/>
    <mergeCell ref="C20:C21"/>
    <mergeCell ref="I20:I21"/>
    <mergeCell ref="J20:J21"/>
    <mergeCell ref="A22:A23"/>
    <mergeCell ref="C22:C23"/>
    <mergeCell ref="I22:I23"/>
    <mergeCell ref="J22:J23"/>
    <mergeCell ref="A24:A25"/>
    <mergeCell ref="C24:C25"/>
    <mergeCell ref="I24:I25"/>
    <mergeCell ref="J24:J25"/>
    <mergeCell ref="A26:A27"/>
    <mergeCell ref="C26:C27"/>
    <mergeCell ref="I26:I27"/>
    <mergeCell ref="J26:J27"/>
    <mergeCell ref="A28:A29"/>
    <mergeCell ref="C28:C29"/>
    <mergeCell ref="I28:I29"/>
    <mergeCell ref="J28:J29"/>
    <mergeCell ref="A30:A31"/>
    <mergeCell ref="C30:C31"/>
    <mergeCell ref="I30:I31"/>
    <mergeCell ref="J30:J31"/>
    <mergeCell ref="A32:A33"/>
    <mergeCell ref="C32:C33"/>
    <mergeCell ref="I32:I33"/>
    <mergeCell ref="J32:J33"/>
    <mergeCell ref="I39:K39"/>
    <mergeCell ref="A34:A35"/>
    <mergeCell ref="C34:C35"/>
    <mergeCell ref="I34:I35"/>
    <mergeCell ref="J34:J35"/>
    <mergeCell ref="B36:C36"/>
    <mergeCell ref="G38:J38"/>
  </mergeCells>
  <printOptions horizontalCentered="1"/>
  <pageMargins left="0" right="0" top="0.19685039370078741" bottom="0" header="0" footer="0"/>
  <pageSetup paperSize="9" scale="5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สุวรรณภูมิ-ผลิต</vt:lpstr>
      <vt:lpstr>สุวรรณภูมิ-รถ</vt:lpstr>
      <vt:lpstr>คันที่1</vt:lpstr>
      <vt:lpstr>คันที่2</vt:lpstr>
      <vt:lpstr>คันที่1!Print_Area</vt:lpstr>
      <vt:lpstr>คันที่2!Print_Area</vt:lpstr>
      <vt:lpstr>'สุวรรณภูมิ-รถ'!Print_Area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User7</cp:lastModifiedBy>
  <cp:lastPrinted>2026-08-18T08:11:46Z</cp:lastPrinted>
  <dcterms:created xsi:type="dcterms:W3CDTF">2025-08-23T13:26:05Z</dcterms:created>
  <dcterms:modified xsi:type="dcterms:W3CDTF">2026-08-19T07:58:11Z</dcterms:modified>
</cp:coreProperties>
</file>