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Fw_ แบบฟอร์ม 7-11+แพลนรถ ของ PO 08_09  ค่ะ\template\"/>
    </mc:Choice>
  </mc:AlternateContent>
  <xr:revisionPtr revIDLastSave="0" documentId="13_ncr:1_{5BD065E4-64FF-4464-B7AD-B93E26167AED}" xr6:coauthVersionLast="47" xr6:coauthVersionMax="47" xr10:uidLastSave="{00000000-0000-0000-0000-000000000000}"/>
  <bookViews>
    <workbookView xWindow="-108" yWindow="-108" windowWidth="23256" windowHeight="13896" tabRatio="582" xr2:uid="{00000000-000D-0000-FFFF-FFFF00000000}"/>
  </bookViews>
  <sheets>
    <sheet name="บางบัวทอง-ผลิต" sheetId="5" r:id="rId1"/>
    <sheet name="บางบัวทอง-ผลิต (2)" sheetId="17" state="hidden" r:id="rId2"/>
    <sheet name="บางบัวทอง-ผลิต (4)" sheetId="16" state="hidden" r:id="rId3"/>
    <sheet name="บางบัวทอง-รถ" sheetId="3" r:id="rId4"/>
    <sheet name="Sheet2" sheetId="7" r:id="rId5"/>
  </sheets>
  <externalReferences>
    <externalReference r:id="rId6"/>
  </externalReferences>
  <definedNames>
    <definedName name="_xlnm.Print_Area" localSheetId="0">'บางบัวทอง-ผลิต'!$B$128:$R$177</definedName>
    <definedName name="_xlnm.Print_Area" localSheetId="1">'บางบัวทอง-ผลิต (2)'!$B$10:$R$54</definedName>
    <definedName name="_xlnm.Print_Area" localSheetId="2">'บางบัวทอง-ผลิต (4)'!$B$10:$R$54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1" i="5" l="1"/>
  <c r="F51" i="5"/>
  <c r="G51" i="5"/>
  <c r="H51" i="5"/>
  <c r="I51" i="5"/>
  <c r="J51" i="5"/>
  <c r="K51" i="5"/>
  <c r="L51" i="5"/>
  <c r="M51" i="5"/>
  <c r="N51" i="5"/>
  <c r="O51" i="5"/>
  <c r="P51" i="5"/>
  <c r="P168" i="5" l="1"/>
  <c r="O168" i="5"/>
  <c r="N168" i="5"/>
  <c r="M168" i="5"/>
  <c r="L168" i="5"/>
  <c r="K168" i="5"/>
  <c r="J168" i="5"/>
  <c r="I168" i="5"/>
  <c r="H168" i="5"/>
  <c r="G168" i="5"/>
  <c r="F168" i="5"/>
  <c r="E168" i="5"/>
  <c r="AK167" i="5"/>
  <c r="Z167" i="5"/>
  <c r="Y167" i="5"/>
  <c r="X167" i="5"/>
  <c r="W167" i="5"/>
  <c r="V167" i="5"/>
  <c r="Q167" i="5"/>
  <c r="T167" i="5" s="1"/>
  <c r="P166" i="5"/>
  <c r="O166" i="5"/>
  <c r="N166" i="5"/>
  <c r="M166" i="5"/>
  <c r="L166" i="5"/>
  <c r="K166" i="5"/>
  <c r="J166" i="5"/>
  <c r="I166" i="5"/>
  <c r="H166" i="5"/>
  <c r="G166" i="5"/>
  <c r="F166" i="5"/>
  <c r="E166" i="5"/>
  <c r="AK165" i="5"/>
  <c r="Z165" i="5"/>
  <c r="Y165" i="5"/>
  <c r="X165" i="5"/>
  <c r="W165" i="5"/>
  <c r="V165" i="5"/>
  <c r="T165" i="5"/>
  <c r="Q165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AK163" i="5"/>
  <c r="Z163" i="5"/>
  <c r="Y163" i="5"/>
  <c r="X163" i="5"/>
  <c r="W163" i="5"/>
  <c r="V163" i="5"/>
  <c r="Q163" i="5"/>
  <c r="T163" i="5" s="1"/>
  <c r="P162" i="5"/>
  <c r="O162" i="5"/>
  <c r="N162" i="5"/>
  <c r="M162" i="5"/>
  <c r="L162" i="5"/>
  <c r="K162" i="5"/>
  <c r="J162" i="5"/>
  <c r="I162" i="5"/>
  <c r="H162" i="5"/>
  <c r="G162" i="5"/>
  <c r="F162" i="5"/>
  <c r="E162" i="5"/>
  <c r="AK161" i="5"/>
  <c r="Z161" i="5"/>
  <c r="Y161" i="5"/>
  <c r="X161" i="5"/>
  <c r="W161" i="5"/>
  <c r="V161" i="5"/>
  <c r="Q161" i="5"/>
  <c r="T161" i="5" s="1"/>
  <c r="P160" i="5"/>
  <c r="O160" i="5"/>
  <c r="N160" i="5"/>
  <c r="M160" i="5"/>
  <c r="L160" i="5"/>
  <c r="K160" i="5"/>
  <c r="J160" i="5"/>
  <c r="I160" i="5"/>
  <c r="H160" i="5"/>
  <c r="G160" i="5"/>
  <c r="F160" i="5"/>
  <c r="E160" i="5"/>
  <c r="AK159" i="5"/>
  <c r="Z159" i="5"/>
  <c r="Y159" i="5"/>
  <c r="X159" i="5"/>
  <c r="W159" i="5"/>
  <c r="V159" i="5"/>
  <c r="Q159" i="5"/>
  <c r="T159" i="5" s="1"/>
  <c r="P158" i="5"/>
  <c r="O158" i="5"/>
  <c r="N158" i="5"/>
  <c r="M158" i="5"/>
  <c r="L158" i="5"/>
  <c r="K158" i="5"/>
  <c r="J158" i="5"/>
  <c r="I158" i="5"/>
  <c r="H158" i="5"/>
  <c r="G158" i="5"/>
  <c r="F158" i="5"/>
  <c r="E158" i="5"/>
  <c r="AK157" i="5"/>
  <c r="Z157" i="5"/>
  <c r="Y157" i="5"/>
  <c r="X157" i="5"/>
  <c r="W157" i="5"/>
  <c r="V157" i="5"/>
  <c r="Q157" i="5"/>
  <c r="T157" i="5" s="1"/>
  <c r="P156" i="5"/>
  <c r="O156" i="5"/>
  <c r="N156" i="5"/>
  <c r="M156" i="5"/>
  <c r="L156" i="5"/>
  <c r="K156" i="5"/>
  <c r="J156" i="5"/>
  <c r="I156" i="5"/>
  <c r="H156" i="5"/>
  <c r="G156" i="5"/>
  <c r="F156" i="5"/>
  <c r="E156" i="5"/>
  <c r="AK155" i="5"/>
  <c r="Z155" i="5"/>
  <c r="Y155" i="5"/>
  <c r="X155" i="5"/>
  <c r="W155" i="5"/>
  <c r="V155" i="5"/>
  <c r="Q155" i="5"/>
  <c r="T155" i="5" s="1"/>
  <c r="P154" i="5"/>
  <c r="O154" i="5"/>
  <c r="N154" i="5"/>
  <c r="M154" i="5"/>
  <c r="L154" i="5"/>
  <c r="K154" i="5"/>
  <c r="J154" i="5"/>
  <c r="I154" i="5"/>
  <c r="H154" i="5"/>
  <c r="G154" i="5"/>
  <c r="F154" i="5"/>
  <c r="E154" i="5"/>
  <c r="AK153" i="5"/>
  <c r="Z153" i="5"/>
  <c r="Y153" i="5"/>
  <c r="X153" i="5"/>
  <c r="W153" i="5"/>
  <c r="V153" i="5"/>
  <c r="Q153" i="5"/>
  <c r="T153" i="5" s="1"/>
  <c r="P152" i="5"/>
  <c r="O152" i="5"/>
  <c r="N152" i="5"/>
  <c r="M152" i="5"/>
  <c r="L152" i="5"/>
  <c r="K152" i="5"/>
  <c r="J152" i="5"/>
  <c r="I152" i="5"/>
  <c r="H152" i="5"/>
  <c r="G152" i="5"/>
  <c r="F152" i="5"/>
  <c r="E152" i="5"/>
  <c r="AK151" i="5"/>
  <c r="Z151" i="5"/>
  <c r="Y151" i="5"/>
  <c r="X151" i="5"/>
  <c r="W151" i="5"/>
  <c r="V151" i="5"/>
  <c r="Q151" i="5"/>
  <c r="T151" i="5" s="1"/>
  <c r="P150" i="5"/>
  <c r="O150" i="5"/>
  <c r="N150" i="5"/>
  <c r="M150" i="5"/>
  <c r="L150" i="5"/>
  <c r="K150" i="5"/>
  <c r="J150" i="5"/>
  <c r="I150" i="5"/>
  <c r="H150" i="5"/>
  <c r="G150" i="5"/>
  <c r="F150" i="5"/>
  <c r="E150" i="5"/>
  <c r="AK149" i="5"/>
  <c r="Z149" i="5"/>
  <c r="Y149" i="5"/>
  <c r="X149" i="5"/>
  <c r="W149" i="5"/>
  <c r="V149" i="5"/>
  <c r="T149" i="5"/>
  <c r="Q149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AK147" i="5"/>
  <c r="Z147" i="5"/>
  <c r="Y147" i="5"/>
  <c r="X147" i="5"/>
  <c r="W147" i="5"/>
  <c r="V147" i="5"/>
  <c r="Q147" i="5"/>
  <c r="T147" i="5" s="1"/>
  <c r="P146" i="5"/>
  <c r="O146" i="5"/>
  <c r="N146" i="5"/>
  <c r="M146" i="5"/>
  <c r="L146" i="5"/>
  <c r="K146" i="5"/>
  <c r="J146" i="5"/>
  <c r="I146" i="5"/>
  <c r="H146" i="5"/>
  <c r="G146" i="5"/>
  <c r="F146" i="5"/>
  <c r="E146" i="5"/>
  <c r="AK145" i="5"/>
  <c r="Z145" i="5"/>
  <c r="Y145" i="5"/>
  <c r="X145" i="5"/>
  <c r="W145" i="5"/>
  <c r="V145" i="5"/>
  <c r="Q145" i="5"/>
  <c r="T145" i="5" s="1"/>
  <c r="P144" i="5"/>
  <c r="O144" i="5"/>
  <c r="N144" i="5"/>
  <c r="M144" i="5"/>
  <c r="L144" i="5"/>
  <c r="K144" i="5"/>
  <c r="J144" i="5"/>
  <c r="I144" i="5"/>
  <c r="H144" i="5"/>
  <c r="G144" i="5"/>
  <c r="F144" i="5"/>
  <c r="E144" i="5"/>
  <c r="AK143" i="5"/>
  <c r="Z143" i="5"/>
  <c r="Y143" i="5"/>
  <c r="X143" i="5"/>
  <c r="W143" i="5"/>
  <c r="V143" i="5"/>
  <c r="Q143" i="5"/>
  <c r="T143" i="5" s="1"/>
  <c r="P142" i="5"/>
  <c r="O142" i="5"/>
  <c r="N142" i="5"/>
  <c r="M142" i="5"/>
  <c r="L142" i="5"/>
  <c r="K142" i="5"/>
  <c r="J142" i="5"/>
  <c r="I142" i="5"/>
  <c r="H142" i="5"/>
  <c r="G142" i="5"/>
  <c r="F142" i="5"/>
  <c r="E142" i="5"/>
  <c r="AK141" i="5"/>
  <c r="Z141" i="5"/>
  <c r="Y141" i="5"/>
  <c r="X141" i="5"/>
  <c r="W141" i="5"/>
  <c r="V141" i="5"/>
  <c r="Q141" i="5"/>
  <c r="T141" i="5" s="1"/>
  <c r="P140" i="5"/>
  <c r="O140" i="5"/>
  <c r="N140" i="5"/>
  <c r="M140" i="5"/>
  <c r="L140" i="5"/>
  <c r="K140" i="5"/>
  <c r="J140" i="5"/>
  <c r="I140" i="5"/>
  <c r="H140" i="5"/>
  <c r="G140" i="5"/>
  <c r="F140" i="5"/>
  <c r="E140" i="5"/>
  <c r="AK139" i="5"/>
  <c r="Z139" i="5"/>
  <c r="Y139" i="5"/>
  <c r="X139" i="5"/>
  <c r="W139" i="5"/>
  <c r="V139" i="5"/>
  <c r="T139" i="5"/>
  <c r="Q139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AK137" i="5"/>
  <c r="Z137" i="5"/>
  <c r="Y137" i="5"/>
  <c r="X137" i="5"/>
  <c r="W137" i="5"/>
  <c r="V137" i="5"/>
  <c r="Q137" i="5"/>
  <c r="T137" i="5" s="1"/>
  <c r="P136" i="5"/>
  <c r="O136" i="5"/>
  <c r="N136" i="5"/>
  <c r="M136" i="5"/>
  <c r="L136" i="5"/>
  <c r="K136" i="5"/>
  <c r="J136" i="5"/>
  <c r="I136" i="5"/>
  <c r="H136" i="5"/>
  <c r="G136" i="5"/>
  <c r="F136" i="5"/>
  <c r="E136" i="5"/>
  <c r="AK135" i="5"/>
  <c r="Z135" i="5"/>
  <c r="Y135" i="5"/>
  <c r="X135" i="5"/>
  <c r="W135" i="5"/>
  <c r="V135" i="5"/>
  <c r="T135" i="5"/>
  <c r="Q135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AK133" i="5"/>
  <c r="Z133" i="5"/>
  <c r="Y133" i="5"/>
  <c r="X133" i="5"/>
  <c r="W133" i="5"/>
  <c r="V133" i="5"/>
  <c r="T133" i="5"/>
  <c r="R169" i="5"/>
  <c r="Q171" i="5" s="1"/>
  <c r="Q133" i="5"/>
  <c r="E101" i="5"/>
  <c r="F101" i="5"/>
  <c r="G101" i="5"/>
  <c r="H101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AK104" i="5"/>
  <c r="Z104" i="5"/>
  <c r="Y104" i="5"/>
  <c r="X104" i="5"/>
  <c r="W104" i="5"/>
  <c r="V104" i="5"/>
  <c r="Q104" i="5"/>
  <c r="T104" i="5" s="1"/>
  <c r="P103" i="5"/>
  <c r="O103" i="5"/>
  <c r="N103" i="5"/>
  <c r="M103" i="5"/>
  <c r="L103" i="5"/>
  <c r="K103" i="5"/>
  <c r="J103" i="5"/>
  <c r="I103" i="5"/>
  <c r="H103" i="5"/>
  <c r="G103" i="5"/>
  <c r="F103" i="5"/>
  <c r="E103" i="5"/>
  <c r="AK102" i="5"/>
  <c r="Z102" i="5"/>
  <c r="Y102" i="5"/>
  <c r="X102" i="5"/>
  <c r="W102" i="5"/>
  <c r="V102" i="5"/>
  <c r="Q102" i="5"/>
  <c r="T102" i="5" s="1"/>
  <c r="P101" i="5"/>
  <c r="O101" i="5"/>
  <c r="N101" i="5"/>
  <c r="M101" i="5"/>
  <c r="L101" i="5"/>
  <c r="K101" i="5"/>
  <c r="J101" i="5"/>
  <c r="I101" i="5"/>
  <c r="AK100" i="5"/>
  <c r="Z100" i="5"/>
  <c r="Y100" i="5"/>
  <c r="X100" i="5"/>
  <c r="W100" i="5"/>
  <c r="V100" i="5"/>
  <c r="Q100" i="5"/>
  <c r="T100" i="5" s="1"/>
  <c r="P99" i="5"/>
  <c r="O99" i="5"/>
  <c r="N99" i="5"/>
  <c r="M99" i="5"/>
  <c r="L99" i="5"/>
  <c r="K99" i="5"/>
  <c r="J99" i="5"/>
  <c r="I99" i="5"/>
  <c r="H99" i="5"/>
  <c r="G99" i="5"/>
  <c r="F99" i="5"/>
  <c r="E99" i="5"/>
  <c r="AK98" i="5"/>
  <c r="Z98" i="5"/>
  <c r="Y98" i="5"/>
  <c r="X98" i="5"/>
  <c r="W98" i="5"/>
  <c r="V98" i="5"/>
  <c r="Q98" i="5"/>
  <c r="T98" i="5" s="1"/>
  <c r="P97" i="5"/>
  <c r="O97" i="5"/>
  <c r="N97" i="5"/>
  <c r="M97" i="5"/>
  <c r="L97" i="5"/>
  <c r="K97" i="5"/>
  <c r="J97" i="5"/>
  <c r="I97" i="5"/>
  <c r="H97" i="5"/>
  <c r="G97" i="5"/>
  <c r="F97" i="5"/>
  <c r="E97" i="5"/>
  <c r="AK96" i="5"/>
  <c r="Z96" i="5"/>
  <c r="Y96" i="5"/>
  <c r="X96" i="5"/>
  <c r="W96" i="5"/>
  <c r="V96" i="5"/>
  <c r="Q96" i="5"/>
  <c r="T96" i="5" s="1"/>
  <c r="P95" i="5"/>
  <c r="O95" i="5"/>
  <c r="N95" i="5"/>
  <c r="M95" i="5"/>
  <c r="L95" i="5"/>
  <c r="K95" i="5"/>
  <c r="J95" i="5"/>
  <c r="I95" i="5"/>
  <c r="H95" i="5"/>
  <c r="G95" i="5"/>
  <c r="F95" i="5"/>
  <c r="E95" i="5"/>
  <c r="AK94" i="5"/>
  <c r="Z94" i="5"/>
  <c r="Y94" i="5"/>
  <c r="X94" i="5"/>
  <c r="W94" i="5"/>
  <c r="V94" i="5"/>
  <c r="Q94" i="5"/>
  <c r="T94" i="5" s="1"/>
  <c r="P93" i="5"/>
  <c r="O93" i="5"/>
  <c r="N93" i="5"/>
  <c r="M93" i="5"/>
  <c r="L93" i="5"/>
  <c r="K93" i="5"/>
  <c r="J93" i="5"/>
  <c r="I93" i="5"/>
  <c r="H93" i="5"/>
  <c r="G93" i="5"/>
  <c r="F93" i="5"/>
  <c r="E93" i="5"/>
  <c r="AK92" i="5"/>
  <c r="Z92" i="5"/>
  <c r="Y92" i="5"/>
  <c r="X92" i="5"/>
  <c r="W92" i="5"/>
  <c r="V92" i="5"/>
  <c r="Q92" i="5"/>
  <c r="T92" i="5" s="1"/>
  <c r="P91" i="5"/>
  <c r="O91" i="5"/>
  <c r="N91" i="5"/>
  <c r="M91" i="5"/>
  <c r="L91" i="5"/>
  <c r="K91" i="5"/>
  <c r="J91" i="5"/>
  <c r="I91" i="5"/>
  <c r="H91" i="5"/>
  <c r="G91" i="5"/>
  <c r="F91" i="5"/>
  <c r="E91" i="5"/>
  <c r="AK90" i="5"/>
  <c r="Z90" i="5"/>
  <c r="Y90" i="5"/>
  <c r="X90" i="5"/>
  <c r="W90" i="5"/>
  <c r="V90" i="5"/>
  <c r="Q90" i="5"/>
  <c r="T90" i="5" s="1"/>
  <c r="P89" i="5"/>
  <c r="O89" i="5"/>
  <c r="N89" i="5"/>
  <c r="M89" i="5"/>
  <c r="L89" i="5"/>
  <c r="K89" i="5"/>
  <c r="J89" i="5"/>
  <c r="I89" i="5"/>
  <c r="H89" i="5"/>
  <c r="G89" i="5"/>
  <c r="F89" i="5"/>
  <c r="E89" i="5"/>
  <c r="AK88" i="5"/>
  <c r="Z88" i="5"/>
  <c r="Y88" i="5"/>
  <c r="X88" i="5"/>
  <c r="W88" i="5"/>
  <c r="V88" i="5"/>
  <c r="Q88" i="5"/>
  <c r="T88" i="5" s="1"/>
  <c r="P87" i="5"/>
  <c r="O87" i="5"/>
  <c r="N87" i="5"/>
  <c r="M87" i="5"/>
  <c r="L87" i="5"/>
  <c r="K87" i="5"/>
  <c r="J87" i="5"/>
  <c r="I87" i="5"/>
  <c r="H87" i="5"/>
  <c r="G87" i="5"/>
  <c r="F87" i="5"/>
  <c r="E87" i="5"/>
  <c r="AK86" i="5"/>
  <c r="Z86" i="5"/>
  <c r="Y86" i="5"/>
  <c r="X86" i="5"/>
  <c r="W86" i="5"/>
  <c r="V86" i="5"/>
  <c r="Q86" i="5"/>
  <c r="T86" i="5" s="1"/>
  <c r="P85" i="5"/>
  <c r="O85" i="5"/>
  <c r="N85" i="5"/>
  <c r="M85" i="5"/>
  <c r="L85" i="5"/>
  <c r="K85" i="5"/>
  <c r="J85" i="5"/>
  <c r="I85" i="5"/>
  <c r="H85" i="5"/>
  <c r="G85" i="5"/>
  <c r="F85" i="5"/>
  <c r="E85" i="5"/>
  <c r="AK84" i="5"/>
  <c r="Z84" i="5"/>
  <c r="Y84" i="5"/>
  <c r="X84" i="5"/>
  <c r="W84" i="5"/>
  <c r="V84" i="5"/>
  <c r="Q84" i="5"/>
  <c r="T84" i="5" s="1"/>
  <c r="P83" i="5"/>
  <c r="O83" i="5"/>
  <c r="N83" i="5"/>
  <c r="M83" i="5"/>
  <c r="L83" i="5"/>
  <c r="K83" i="5"/>
  <c r="J83" i="5"/>
  <c r="I83" i="5"/>
  <c r="H83" i="5"/>
  <c r="G83" i="5"/>
  <c r="F83" i="5"/>
  <c r="E83" i="5"/>
  <c r="AK82" i="5"/>
  <c r="Z82" i="5"/>
  <c r="Y82" i="5"/>
  <c r="X82" i="5"/>
  <c r="W82" i="5"/>
  <c r="V82" i="5"/>
  <c r="T82" i="5"/>
  <c r="Q82" i="5"/>
  <c r="P81" i="5"/>
  <c r="O81" i="5"/>
  <c r="N81" i="5"/>
  <c r="M81" i="5"/>
  <c r="L81" i="5"/>
  <c r="K81" i="5"/>
  <c r="J81" i="5"/>
  <c r="I81" i="5"/>
  <c r="H81" i="5"/>
  <c r="G81" i="5"/>
  <c r="F81" i="5"/>
  <c r="E81" i="5"/>
  <c r="AK80" i="5"/>
  <c r="Z80" i="5"/>
  <c r="Y80" i="5"/>
  <c r="X80" i="5"/>
  <c r="W80" i="5"/>
  <c r="V80" i="5"/>
  <c r="Q80" i="5"/>
  <c r="T80" i="5" s="1"/>
  <c r="P79" i="5"/>
  <c r="O79" i="5"/>
  <c r="N79" i="5"/>
  <c r="M79" i="5"/>
  <c r="L79" i="5"/>
  <c r="K79" i="5"/>
  <c r="J79" i="5"/>
  <c r="I79" i="5"/>
  <c r="H79" i="5"/>
  <c r="G79" i="5"/>
  <c r="F79" i="5"/>
  <c r="E79" i="5"/>
  <c r="AK78" i="5"/>
  <c r="Z78" i="5"/>
  <c r="Y78" i="5"/>
  <c r="X78" i="5"/>
  <c r="W78" i="5"/>
  <c r="V78" i="5"/>
  <c r="Q78" i="5"/>
  <c r="T78" i="5" s="1"/>
  <c r="P77" i="5"/>
  <c r="O77" i="5"/>
  <c r="N77" i="5"/>
  <c r="M77" i="5"/>
  <c r="L77" i="5"/>
  <c r="K77" i="5"/>
  <c r="J77" i="5"/>
  <c r="I77" i="5"/>
  <c r="H77" i="5"/>
  <c r="G77" i="5"/>
  <c r="F77" i="5"/>
  <c r="E77" i="5"/>
  <c r="AK76" i="5"/>
  <c r="Z76" i="5"/>
  <c r="Y76" i="5"/>
  <c r="X76" i="5"/>
  <c r="W76" i="5"/>
  <c r="V76" i="5"/>
  <c r="Q76" i="5"/>
  <c r="T76" i="5" s="1"/>
  <c r="P75" i="5"/>
  <c r="O75" i="5"/>
  <c r="N75" i="5"/>
  <c r="M75" i="5"/>
  <c r="L75" i="5"/>
  <c r="K75" i="5"/>
  <c r="J75" i="5"/>
  <c r="I75" i="5"/>
  <c r="AK74" i="5"/>
  <c r="Z74" i="5"/>
  <c r="Y74" i="5"/>
  <c r="X74" i="5"/>
  <c r="W74" i="5"/>
  <c r="V74" i="5"/>
  <c r="Q74" i="5"/>
  <c r="T74" i="5" s="1"/>
  <c r="P73" i="5"/>
  <c r="O73" i="5"/>
  <c r="N73" i="5"/>
  <c r="M73" i="5"/>
  <c r="L73" i="5"/>
  <c r="K73" i="5"/>
  <c r="J73" i="5"/>
  <c r="I73" i="5"/>
  <c r="H73" i="5"/>
  <c r="G73" i="5"/>
  <c r="F73" i="5"/>
  <c r="E73" i="5"/>
  <c r="AK72" i="5"/>
  <c r="Z72" i="5"/>
  <c r="Y72" i="5"/>
  <c r="X72" i="5"/>
  <c r="W72" i="5"/>
  <c r="V72" i="5"/>
  <c r="Q72" i="5"/>
  <c r="T72" i="5" s="1"/>
  <c r="P71" i="5"/>
  <c r="O71" i="5"/>
  <c r="N71" i="5"/>
  <c r="M71" i="5"/>
  <c r="L71" i="5"/>
  <c r="K71" i="5"/>
  <c r="J71" i="5"/>
  <c r="I71" i="5"/>
  <c r="H71" i="5"/>
  <c r="G71" i="5"/>
  <c r="F71" i="5"/>
  <c r="E71" i="5"/>
  <c r="AK70" i="5"/>
  <c r="Z70" i="5"/>
  <c r="Y70" i="5"/>
  <c r="X70" i="5"/>
  <c r="W70" i="5"/>
  <c r="V70" i="5"/>
  <c r="R106" i="5"/>
  <c r="Q108" i="5" s="1"/>
  <c r="Q70" i="5"/>
  <c r="T70" i="5" s="1"/>
  <c r="F22" i="5" l="1"/>
  <c r="G22" i="5"/>
  <c r="H22" i="5"/>
  <c r="I22" i="5"/>
  <c r="J22" i="5"/>
  <c r="K22" i="5"/>
  <c r="L22" i="5"/>
  <c r="M22" i="5"/>
  <c r="N22" i="5"/>
  <c r="O22" i="5"/>
  <c r="P22" i="5"/>
  <c r="E22" i="5"/>
  <c r="E21" i="3"/>
  <c r="F21" i="3"/>
  <c r="G21" i="3"/>
  <c r="H21" i="3"/>
  <c r="I21" i="3"/>
  <c r="J21" i="3"/>
  <c r="K21" i="3"/>
  <c r="L21" i="3"/>
  <c r="M21" i="3"/>
  <c r="N21" i="3"/>
  <c r="O21" i="3"/>
  <c r="D21" i="3"/>
  <c r="V37" i="5"/>
  <c r="F38" i="5"/>
  <c r="G38" i="5"/>
  <c r="H38" i="5"/>
  <c r="I38" i="5"/>
  <c r="J38" i="5"/>
  <c r="K38" i="5"/>
  <c r="L38" i="5"/>
  <c r="M38" i="5"/>
  <c r="N38" i="5"/>
  <c r="O38" i="5"/>
  <c r="P38" i="5"/>
  <c r="AK37" i="5"/>
  <c r="Z37" i="5"/>
  <c r="Y37" i="5"/>
  <c r="X37" i="5"/>
  <c r="W37" i="5"/>
  <c r="F18" i="5"/>
  <c r="G18" i="5"/>
  <c r="H18" i="5"/>
  <c r="I18" i="5"/>
  <c r="J18" i="5"/>
  <c r="K18" i="5"/>
  <c r="L18" i="5"/>
  <c r="M18" i="5"/>
  <c r="N18" i="5"/>
  <c r="O18" i="5"/>
  <c r="P18" i="5"/>
  <c r="E18" i="5"/>
  <c r="E26" i="3"/>
  <c r="F26" i="3"/>
  <c r="G26" i="3"/>
  <c r="H26" i="3"/>
  <c r="I26" i="3"/>
  <c r="J26" i="3"/>
  <c r="K26" i="3"/>
  <c r="L26" i="3"/>
  <c r="M26" i="3"/>
  <c r="N26" i="3"/>
  <c r="O26" i="3"/>
  <c r="D26" i="3"/>
  <c r="E27" i="3"/>
  <c r="F27" i="3"/>
  <c r="G27" i="3"/>
  <c r="H27" i="3"/>
  <c r="I27" i="3"/>
  <c r="J27" i="3"/>
  <c r="K27" i="3"/>
  <c r="L27" i="3"/>
  <c r="M27" i="3"/>
  <c r="N27" i="3"/>
  <c r="O27" i="3"/>
  <c r="D27" i="3"/>
  <c r="F48" i="5"/>
  <c r="G48" i="5"/>
  <c r="H48" i="5"/>
  <c r="I48" i="5"/>
  <c r="J48" i="5"/>
  <c r="K48" i="5"/>
  <c r="L48" i="5"/>
  <c r="M48" i="5"/>
  <c r="N48" i="5"/>
  <c r="O48" i="5"/>
  <c r="P48" i="5"/>
  <c r="E48" i="5"/>
  <c r="AK47" i="5"/>
  <c r="Z47" i="5"/>
  <c r="Y47" i="5"/>
  <c r="X47" i="5"/>
  <c r="W47" i="5"/>
  <c r="V47" i="5"/>
  <c r="Q47" i="5"/>
  <c r="T47" i="5" s="1"/>
  <c r="F30" i="5"/>
  <c r="G30" i="5"/>
  <c r="H30" i="5"/>
  <c r="I30" i="5"/>
  <c r="J30" i="5"/>
  <c r="K30" i="5"/>
  <c r="L30" i="5"/>
  <c r="M30" i="5"/>
  <c r="N30" i="5"/>
  <c r="O30" i="5"/>
  <c r="P30" i="5"/>
  <c r="E30" i="5"/>
  <c r="Q19" i="5"/>
  <c r="E24" i="3"/>
  <c r="F24" i="3"/>
  <c r="G24" i="3"/>
  <c r="H24" i="3"/>
  <c r="I24" i="3"/>
  <c r="J24" i="3"/>
  <c r="K24" i="3"/>
  <c r="L24" i="3"/>
  <c r="M24" i="3"/>
  <c r="N24" i="3"/>
  <c r="O24" i="3"/>
  <c r="D24" i="3"/>
  <c r="P34" i="5"/>
  <c r="P20" i="5"/>
  <c r="F44" i="5"/>
  <c r="G44" i="5"/>
  <c r="H44" i="5"/>
  <c r="I44" i="5"/>
  <c r="J44" i="5"/>
  <c r="K44" i="5"/>
  <c r="L44" i="5"/>
  <c r="M44" i="5"/>
  <c r="N44" i="5"/>
  <c r="O44" i="5"/>
  <c r="P44" i="5"/>
  <c r="E44" i="5"/>
  <c r="C27" i="3" l="1" a="1"/>
  <c r="C27" i="3" s="1"/>
  <c r="R49" i="5" s="1"/>
  <c r="C21" i="3" a="1"/>
  <c r="C21" i="3" s="1"/>
  <c r="R37" i="5" s="1"/>
  <c r="C26" i="3" a="1"/>
  <c r="C26" i="3" s="1"/>
  <c r="C24" i="3" a="1"/>
  <c r="C24" i="3" s="1"/>
  <c r="Q37" i="5"/>
  <c r="T37" i="5" s="1"/>
  <c r="E38" i="5"/>
  <c r="F46" i="5"/>
  <c r="G46" i="5"/>
  <c r="H46" i="5"/>
  <c r="I46" i="5"/>
  <c r="J46" i="5"/>
  <c r="K46" i="5"/>
  <c r="L46" i="5"/>
  <c r="M46" i="5"/>
  <c r="N46" i="5"/>
  <c r="O46" i="5"/>
  <c r="P46" i="5"/>
  <c r="E46" i="5"/>
  <c r="E25" i="3"/>
  <c r="F25" i="3"/>
  <c r="G25" i="3"/>
  <c r="H25" i="3"/>
  <c r="I25" i="3"/>
  <c r="J25" i="3"/>
  <c r="K25" i="3"/>
  <c r="L25" i="3"/>
  <c r="M25" i="3"/>
  <c r="N25" i="3"/>
  <c r="O25" i="3"/>
  <c r="D25" i="3"/>
  <c r="AK43" i="5"/>
  <c r="Z43" i="5"/>
  <c r="Y43" i="5"/>
  <c r="X43" i="5"/>
  <c r="W43" i="5"/>
  <c r="V43" i="5"/>
  <c r="Q43" i="5"/>
  <c r="T43" i="5" s="1"/>
  <c r="AK45" i="5"/>
  <c r="Z45" i="5"/>
  <c r="Y45" i="5"/>
  <c r="X45" i="5"/>
  <c r="W45" i="5"/>
  <c r="V45" i="5"/>
  <c r="Q45" i="5"/>
  <c r="T45" i="5" s="1"/>
  <c r="O32" i="5"/>
  <c r="C25" i="3" l="1" a="1"/>
  <c r="C25" i="3" s="1"/>
  <c r="R45" i="5" s="1"/>
  <c r="N36" i="5"/>
  <c r="H32" i="5"/>
  <c r="H34" i="5"/>
  <c r="H36" i="5"/>
  <c r="H40" i="5"/>
  <c r="V27" i="5"/>
  <c r="W27" i="5"/>
  <c r="X27" i="5"/>
  <c r="Y27" i="5"/>
  <c r="Z27" i="5"/>
  <c r="R43" i="5" l="1"/>
  <c r="P44" i="17"/>
  <c r="O44" i="17"/>
  <c r="N44" i="17"/>
  <c r="M44" i="17"/>
  <c r="L44" i="17"/>
  <c r="K44" i="17"/>
  <c r="J44" i="17"/>
  <c r="I44" i="17"/>
  <c r="H44" i="17"/>
  <c r="G44" i="17"/>
  <c r="F44" i="17"/>
  <c r="E44" i="17"/>
  <c r="AK43" i="17"/>
  <c r="Z43" i="17"/>
  <c r="Y43" i="17"/>
  <c r="X43" i="17"/>
  <c r="W43" i="17"/>
  <c r="V43" i="17"/>
  <c r="Q43" i="17"/>
  <c r="T43" i="17" s="1"/>
  <c r="P42" i="17"/>
  <c r="O42" i="17"/>
  <c r="N42" i="17"/>
  <c r="M42" i="17"/>
  <c r="L42" i="17"/>
  <c r="K42" i="17"/>
  <c r="J42" i="17"/>
  <c r="I42" i="17"/>
  <c r="H42" i="17"/>
  <c r="G42" i="17"/>
  <c r="F42" i="17"/>
  <c r="E42" i="17"/>
  <c r="AK41" i="17"/>
  <c r="Z41" i="17"/>
  <c r="Y41" i="17"/>
  <c r="X41" i="17"/>
  <c r="W41" i="17"/>
  <c r="V41" i="17"/>
  <c r="Q41" i="17"/>
  <c r="T41" i="17" s="1"/>
  <c r="P40" i="17"/>
  <c r="O40" i="17"/>
  <c r="N40" i="17"/>
  <c r="M40" i="17"/>
  <c r="L40" i="17"/>
  <c r="K40" i="17"/>
  <c r="J40" i="17"/>
  <c r="I40" i="17"/>
  <c r="H40" i="17"/>
  <c r="G40" i="17"/>
  <c r="F40" i="17"/>
  <c r="E40" i="17"/>
  <c r="AK39" i="17"/>
  <c r="Z39" i="17"/>
  <c r="Y39" i="17"/>
  <c r="X39" i="17"/>
  <c r="W39" i="17"/>
  <c r="V39" i="17"/>
  <c r="T39" i="17"/>
  <c r="Q39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AK37" i="17"/>
  <c r="Z37" i="17"/>
  <c r="Y37" i="17"/>
  <c r="X37" i="17"/>
  <c r="W37" i="17"/>
  <c r="V37" i="17"/>
  <c r="T37" i="17"/>
  <c r="Q37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AK35" i="17"/>
  <c r="Z35" i="17"/>
  <c r="Y35" i="17"/>
  <c r="X35" i="17"/>
  <c r="W35" i="17"/>
  <c r="V35" i="17"/>
  <c r="Q35" i="17"/>
  <c r="T35" i="17" s="1"/>
  <c r="P34" i="17"/>
  <c r="O34" i="17"/>
  <c r="N34" i="17"/>
  <c r="M34" i="17"/>
  <c r="L34" i="17"/>
  <c r="K34" i="17"/>
  <c r="J34" i="17"/>
  <c r="I34" i="17"/>
  <c r="H34" i="17"/>
  <c r="G34" i="17"/>
  <c r="F34" i="17"/>
  <c r="E34" i="17"/>
  <c r="AK33" i="17"/>
  <c r="Z33" i="17"/>
  <c r="Y33" i="17"/>
  <c r="X33" i="17"/>
  <c r="W33" i="17"/>
  <c r="V33" i="17"/>
  <c r="Q33" i="17"/>
  <c r="T33" i="17" s="1"/>
  <c r="P32" i="17"/>
  <c r="O32" i="17"/>
  <c r="N32" i="17"/>
  <c r="M32" i="17"/>
  <c r="L32" i="17"/>
  <c r="K32" i="17"/>
  <c r="J32" i="17"/>
  <c r="I32" i="17"/>
  <c r="H32" i="17"/>
  <c r="G32" i="17"/>
  <c r="F32" i="17"/>
  <c r="E32" i="17"/>
  <c r="AK31" i="17"/>
  <c r="Z31" i="17"/>
  <c r="Y31" i="17"/>
  <c r="X31" i="17"/>
  <c r="W31" i="17"/>
  <c r="V31" i="17"/>
  <c r="Q31" i="17"/>
  <c r="T31" i="17" s="1"/>
  <c r="P30" i="17"/>
  <c r="O30" i="17"/>
  <c r="N30" i="17"/>
  <c r="M30" i="17"/>
  <c r="L30" i="17"/>
  <c r="K30" i="17"/>
  <c r="J30" i="17"/>
  <c r="I30" i="17"/>
  <c r="H30" i="17"/>
  <c r="G30" i="17"/>
  <c r="F30" i="17"/>
  <c r="E30" i="17"/>
  <c r="AK29" i="17"/>
  <c r="Z29" i="17"/>
  <c r="Y29" i="17"/>
  <c r="X29" i="17"/>
  <c r="W29" i="17"/>
  <c r="V29" i="17"/>
  <c r="T29" i="17"/>
  <c r="Q29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AK27" i="17"/>
  <c r="Z27" i="17"/>
  <c r="Y27" i="17"/>
  <c r="X27" i="17"/>
  <c r="W27" i="17"/>
  <c r="V27" i="17"/>
  <c r="Q27" i="17"/>
  <c r="T27" i="17" s="1"/>
  <c r="P26" i="17"/>
  <c r="O26" i="17"/>
  <c r="N26" i="17"/>
  <c r="M26" i="17"/>
  <c r="L26" i="17"/>
  <c r="K26" i="17"/>
  <c r="J26" i="17"/>
  <c r="I26" i="17"/>
  <c r="H26" i="17"/>
  <c r="G26" i="17"/>
  <c r="F26" i="17"/>
  <c r="E26" i="17"/>
  <c r="AK25" i="17"/>
  <c r="Z25" i="17"/>
  <c r="Y25" i="17"/>
  <c r="X25" i="17"/>
  <c r="W25" i="17"/>
  <c r="V25" i="17"/>
  <c r="Q25" i="17"/>
  <c r="T25" i="17" s="1"/>
  <c r="P24" i="17"/>
  <c r="O24" i="17"/>
  <c r="N24" i="17"/>
  <c r="M24" i="17"/>
  <c r="L24" i="17"/>
  <c r="K24" i="17"/>
  <c r="J24" i="17"/>
  <c r="I24" i="17"/>
  <c r="H24" i="17"/>
  <c r="G24" i="17"/>
  <c r="F24" i="17"/>
  <c r="E24" i="17"/>
  <c r="AK23" i="17"/>
  <c r="Z23" i="17"/>
  <c r="Y23" i="17"/>
  <c r="X23" i="17"/>
  <c r="W23" i="17"/>
  <c r="V23" i="17"/>
  <c r="Q23" i="17"/>
  <c r="T23" i="17" s="1"/>
  <c r="P22" i="17"/>
  <c r="O22" i="17"/>
  <c r="N22" i="17"/>
  <c r="M22" i="17"/>
  <c r="L22" i="17"/>
  <c r="K22" i="17"/>
  <c r="J22" i="17"/>
  <c r="I22" i="17"/>
  <c r="H22" i="17"/>
  <c r="G22" i="17"/>
  <c r="F22" i="17"/>
  <c r="E22" i="17"/>
  <c r="AK21" i="17"/>
  <c r="Z21" i="17"/>
  <c r="Y21" i="17"/>
  <c r="X21" i="17"/>
  <c r="W21" i="17"/>
  <c r="V21" i="17"/>
  <c r="T21" i="17"/>
  <c r="Q21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AK19" i="17"/>
  <c r="Z19" i="17"/>
  <c r="Y19" i="17"/>
  <c r="X19" i="17"/>
  <c r="W19" i="17"/>
  <c r="V19" i="17"/>
  <c r="T19" i="17"/>
  <c r="Q19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AK17" i="17"/>
  <c r="Z17" i="17"/>
  <c r="Y17" i="17"/>
  <c r="X17" i="17"/>
  <c r="W17" i="17"/>
  <c r="V17" i="17"/>
  <c r="Q17" i="17"/>
  <c r="T17" i="17" s="1"/>
  <c r="P16" i="17"/>
  <c r="O16" i="17"/>
  <c r="N16" i="17"/>
  <c r="M16" i="17"/>
  <c r="L16" i="17"/>
  <c r="K16" i="17"/>
  <c r="J16" i="17"/>
  <c r="I16" i="17"/>
  <c r="H16" i="17"/>
  <c r="G16" i="17"/>
  <c r="F16" i="17"/>
  <c r="E16" i="17"/>
  <c r="AK15" i="17"/>
  <c r="Z15" i="17"/>
  <c r="Y15" i="17"/>
  <c r="X15" i="17"/>
  <c r="W15" i="17"/>
  <c r="V15" i="17"/>
  <c r="R45" i="17"/>
  <c r="Q50" i="17" s="1"/>
  <c r="Q15" i="17"/>
  <c r="T15" i="17" s="1"/>
  <c r="P44" i="16"/>
  <c r="O44" i="16"/>
  <c r="N44" i="16"/>
  <c r="M44" i="16"/>
  <c r="L44" i="16"/>
  <c r="K44" i="16"/>
  <c r="J44" i="16"/>
  <c r="I44" i="16"/>
  <c r="H44" i="16"/>
  <c r="G44" i="16"/>
  <c r="F44" i="16"/>
  <c r="E44" i="16"/>
  <c r="AK43" i="16"/>
  <c r="Z43" i="16"/>
  <c r="Y43" i="16"/>
  <c r="X43" i="16"/>
  <c r="W43" i="16"/>
  <c r="V43" i="16"/>
  <c r="Q43" i="16"/>
  <c r="T43" i="16" s="1"/>
  <c r="P42" i="16"/>
  <c r="O42" i="16"/>
  <c r="N42" i="16"/>
  <c r="M42" i="16"/>
  <c r="L42" i="16"/>
  <c r="K42" i="16"/>
  <c r="J42" i="16"/>
  <c r="I42" i="16"/>
  <c r="H42" i="16"/>
  <c r="G42" i="16"/>
  <c r="F42" i="16"/>
  <c r="E42" i="16"/>
  <c r="AK41" i="16"/>
  <c r="Z41" i="16"/>
  <c r="Y41" i="16"/>
  <c r="X41" i="16"/>
  <c r="W41" i="16"/>
  <c r="V41" i="16"/>
  <c r="Q41" i="16"/>
  <c r="T41" i="16" s="1"/>
  <c r="P40" i="16"/>
  <c r="O40" i="16"/>
  <c r="N40" i="16"/>
  <c r="M40" i="16"/>
  <c r="L40" i="16"/>
  <c r="K40" i="16"/>
  <c r="J40" i="16"/>
  <c r="I40" i="16"/>
  <c r="H40" i="16"/>
  <c r="G40" i="16"/>
  <c r="F40" i="16"/>
  <c r="E40" i="16"/>
  <c r="AK39" i="16"/>
  <c r="Z39" i="16"/>
  <c r="Y39" i="16"/>
  <c r="X39" i="16"/>
  <c r="W39" i="16"/>
  <c r="V39" i="16"/>
  <c r="T39" i="16"/>
  <c r="Q39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AK37" i="16"/>
  <c r="Z37" i="16"/>
  <c r="Y37" i="16"/>
  <c r="X37" i="16"/>
  <c r="W37" i="16"/>
  <c r="V37" i="16"/>
  <c r="T37" i="16"/>
  <c r="Q37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AK35" i="16"/>
  <c r="Z35" i="16"/>
  <c r="Y35" i="16"/>
  <c r="X35" i="16"/>
  <c r="W35" i="16"/>
  <c r="V35" i="16"/>
  <c r="Q35" i="16"/>
  <c r="T35" i="16" s="1"/>
  <c r="P34" i="16"/>
  <c r="O34" i="16"/>
  <c r="N34" i="16"/>
  <c r="M34" i="16"/>
  <c r="L34" i="16"/>
  <c r="K34" i="16"/>
  <c r="J34" i="16"/>
  <c r="I34" i="16"/>
  <c r="H34" i="16"/>
  <c r="G34" i="16"/>
  <c r="F34" i="16"/>
  <c r="E34" i="16"/>
  <c r="AK33" i="16"/>
  <c r="Z33" i="16"/>
  <c r="Y33" i="16"/>
  <c r="X33" i="16"/>
  <c r="W33" i="16"/>
  <c r="V33" i="16"/>
  <c r="Q33" i="16"/>
  <c r="T33" i="16" s="1"/>
  <c r="P32" i="16"/>
  <c r="O32" i="16"/>
  <c r="N32" i="16"/>
  <c r="M32" i="16"/>
  <c r="L32" i="16"/>
  <c r="K32" i="16"/>
  <c r="J32" i="16"/>
  <c r="I32" i="16"/>
  <c r="H32" i="16"/>
  <c r="G32" i="16"/>
  <c r="F32" i="16"/>
  <c r="E32" i="16"/>
  <c r="AK31" i="16"/>
  <c r="Z31" i="16"/>
  <c r="Y31" i="16"/>
  <c r="X31" i="16"/>
  <c r="W31" i="16"/>
  <c r="V31" i="16"/>
  <c r="Q31" i="16"/>
  <c r="T31" i="16" s="1"/>
  <c r="P30" i="16"/>
  <c r="O30" i="16"/>
  <c r="N30" i="16"/>
  <c r="M30" i="16"/>
  <c r="L30" i="16"/>
  <c r="K30" i="16"/>
  <c r="J30" i="16"/>
  <c r="I30" i="16"/>
  <c r="H30" i="16"/>
  <c r="G30" i="16"/>
  <c r="F30" i="16"/>
  <c r="E30" i="16"/>
  <c r="AK29" i="16"/>
  <c r="Z29" i="16"/>
  <c r="Y29" i="16"/>
  <c r="X29" i="16"/>
  <c r="W29" i="16"/>
  <c r="V29" i="16"/>
  <c r="Q29" i="16"/>
  <c r="T29" i="16" s="1"/>
  <c r="P28" i="16"/>
  <c r="O28" i="16"/>
  <c r="N28" i="16"/>
  <c r="M28" i="16"/>
  <c r="L28" i="16"/>
  <c r="K28" i="16"/>
  <c r="J28" i="16"/>
  <c r="I28" i="16"/>
  <c r="H28" i="16"/>
  <c r="G28" i="16"/>
  <c r="F28" i="16"/>
  <c r="E28" i="16"/>
  <c r="AK27" i="16"/>
  <c r="Z27" i="16"/>
  <c r="Y27" i="16"/>
  <c r="X27" i="16"/>
  <c r="W27" i="16"/>
  <c r="V27" i="16"/>
  <c r="Q27" i="16"/>
  <c r="T27" i="16" s="1"/>
  <c r="P26" i="16"/>
  <c r="O26" i="16"/>
  <c r="N26" i="16"/>
  <c r="M26" i="16"/>
  <c r="L26" i="16"/>
  <c r="K26" i="16"/>
  <c r="J26" i="16"/>
  <c r="I26" i="16"/>
  <c r="H26" i="16"/>
  <c r="G26" i="16"/>
  <c r="F26" i="16"/>
  <c r="E26" i="16"/>
  <c r="AK25" i="16"/>
  <c r="Z25" i="16"/>
  <c r="Y25" i="16"/>
  <c r="X25" i="16"/>
  <c r="W25" i="16"/>
  <c r="V25" i="16"/>
  <c r="Q25" i="16"/>
  <c r="T25" i="16" s="1"/>
  <c r="P24" i="16"/>
  <c r="O24" i="16"/>
  <c r="N24" i="16"/>
  <c r="M24" i="16"/>
  <c r="L24" i="16"/>
  <c r="K24" i="16"/>
  <c r="J24" i="16"/>
  <c r="I24" i="16"/>
  <c r="H24" i="16"/>
  <c r="G24" i="16"/>
  <c r="F24" i="16"/>
  <c r="E24" i="16"/>
  <c r="AK23" i="16"/>
  <c r="Z23" i="16"/>
  <c r="Y23" i="16"/>
  <c r="X23" i="16"/>
  <c r="W23" i="16"/>
  <c r="V23" i="16"/>
  <c r="T23" i="16"/>
  <c r="Q23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AK21" i="16"/>
  <c r="Z21" i="16"/>
  <c r="Y21" i="16"/>
  <c r="X21" i="16"/>
  <c r="W21" i="16"/>
  <c r="V21" i="16"/>
  <c r="T21" i="16"/>
  <c r="Q21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AK19" i="16"/>
  <c r="Z19" i="16"/>
  <c r="Y19" i="16"/>
  <c r="X19" i="16"/>
  <c r="W19" i="16"/>
  <c r="V19" i="16"/>
  <c r="Q19" i="16"/>
  <c r="T19" i="16" s="1"/>
  <c r="P18" i="16"/>
  <c r="O18" i="16"/>
  <c r="N18" i="16"/>
  <c r="M18" i="16"/>
  <c r="L18" i="16"/>
  <c r="K18" i="16"/>
  <c r="J18" i="16"/>
  <c r="I18" i="16"/>
  <c r="H18" i="16"/>
  <c r="G18" i="16"/>
  <c r="F18" i="16"/>
  <c r="E18" i="16"/>
  <c r="AK17" i="16"/>
  <c r="Z17" i="16"/>
  <c r="Y17" i="16"/>
  <c r="X17" i="16"/>
  <c r="W17" i="16"/>
  <c r="V17" i="16"/>
  <c r="Q17" i="16"/>
  <c r="T17" i="16" s="1"/>
  <c r="P16" i="16"/>
  <c r="O16" i="16"/>
  <c r="N16" i="16"/>
  <c r="M16" i="16"/>
  <c r="L16" i="16"/>
  <c r="K16" i="16"/>
  <c r="J16" i="16"/>
  <c r="I16" i="16"/>
  <c r="H16" i="16"/>
  <c r="G16" i="16"/>
  <c r="F16" i="16"/>
  <c r="E16" i="16"/>
  <c r="AK15" i="16"/>
  <c r="Z15" i="16"/>
  <c r="Y15" i="16"/>
  <c r="X15" i="16"/>
  <c r="W15" i="16"/>
  <c r="V15" i="16"/>
  <c r="R45" i="16"/>
  <c r="Q50" i="16" s="1"/>
  <c r="Q15" i="16"/>
  <c r="T15" i="16" s="1"/>
  <c r="O20" i="5"/>
  <c r="Z21" i="5"/>
  <c r="Y21" i="5"/>
  <c r="X21" i="5"/>
  <c r="W21" i="5"/>
  <c r="V21" i="5"/>
  <c r="E50" i="5" l="1"/>
  <c r="F50" i="5"/>
  <c r="G50" i="5"/>
  <c r="H50" i="5"/>
  <c r="I50" i="5"/>
  <c r="J50" i="5"/>
  <c r="K50" i="5"/>
  <c r="L50" i="5"/>
  <c r="M50" i="5"/>
  <c r="N50" i="5"/>
  <c r="O50" i="5"/>
  <c r="N34" i="5"/>
  <c r="P16" i="5" l="1"/>
  <c r="P24" i="5"/>
  <c r="P26" i="5"/>
  <c r="P28" i="5"/>
  <c r="P32" i="5"/>
  <c r="P36" i="5"/>
  <c r="P40" i="5"/>
  <c r="P42" i="5"/>
  <c r="P50" i="5"/>
  <c r="V15" i="5" l="1"/>
  <c r="W15" i="5"/>
  <c r="X15" i="5"/>
  <c r="Y15" i="5"/>
  <c r="Z15" i="5"/>
  <c r="V17" i="5"/>
  <c r="W17" i="5"/>
  <c r="X17" i="5"/>
  <c r="Y17" i="5"/>
  <c r="Z17" i="5"/>
  <c r="V19" i="5"/>
  <c r="W19" i="5"/>
  <c r="X19" i="5"/>
  <c r="Y19" i="5"/>
  <c r="Z19" i="5"/>
  <c r="V23" i="5"/>
  <c r="W23" i="5"/>
  <c r="X23" i="5"/>
  <c r="Y23" i="5"/>
  <c r="Z23" i="5"/>
  <c r="V25" i="5"/>
  <c r="W25" i="5"/>
  <c r="X25" i="5"/>
  <c r="Y25" i="5"/>
  <c r="Z25" i="5"/>
  <c r="V29" i="5"/>
  <c r="W29" i="5"/>
  <c r="X29" i="5"/>
  <c r="Y29" i="5"/>
  <c r="Z29" i="5"/>
  <c r="V31" i="5"/>
  <c r="W31" i="5"/>
  <c r="X31" i="5"/>
  <c r="Y31" i="5"/>
  <c r="Z31" i="5"/>
  <c r="V33" i="5"/>
  <c r="W33" i="5"/>
  <c r="X33" i="5"/>
  <c r="Y33" i="5"/>
  <c r="Z33" i="5"/>
  <c r="V35" i="5"/>
  <c r="W35" i="5"/>
  <c r="X35" i="5"/>
  <c r="Y35" i="5"/>
  <c r="Z35" i="5"/>
  <c r="V39" i="5"/>
  <c r="W39" i="5"/>
  <c r="X39" i="5"/>
  <c r="Y39" i="5"/>
  <c r="Z39" i="5"/>
  <c r="V41" i="5"/>
  <c r="W41" i="5"/>
  <c r="X41" i="5"/>
  <c r="Y41" i="5"/>
  <c r="Z41" i="5"/>
  <c r="V49" i="5"/>
  <c r="W49" i="5"/>
  <c r="X49" i="5"/>
  <c r="Y49" i="5"/>
  <c r="Z49" i="5"/>
  <c r="H28" i="5"/>
  <c r="I28" i="5"/>
  <c r="I32" i="5"/>
  <c r="I34" i="5"/>
  <c r="M32" i="5"/>
  <c r="M34" i="5"/>
  <c r="M36" i="5"/>
  <c r="M40" i="5"/>
  <c r="E18" i="3" l="1"/>
  <c r="F18" i="3"/>
  <c r="G18" i="3"/>
  <c r="H18" i="3"/>
  <c r="I18" i="3"/>
  <c r="J18" i="3"/>
  <c r="K18" i="3"/>
  <c r="L18" i="3"/>
  <c r="M18" i="3"/>
  <c r="N18" i="3"/>
  <c r="O18" i="3"/>
  <c r="D18" i="3"/>
  <c r="F32" i="5"/>
  <c r="G32" i="5"/>
  <c r="J32" i="5"/>
  <c r="K32" i="5"/>
  <c r="L32" i="5"/>
  <c r="N32" i="5"/>
  <c r="E32" i="5"/>
  <c r="AK31" i="5"/>
  <c r="Q31" i="5"/>
  <c r="T31" i="5" s="1"/>
  <c r="I42" i="5"/>
  <c r="C18" i="3" l="1" a="1"/>
  <c r="C18" i="3" s="1"/>
  <c r="R31" i="5" s="1"/>
  <c r="AK49" i="5" l="1"/>
  <c r="Q49" i="5"/>
  <c r="T49" i="5" s="1"/>
  <c r="F42" i="5"/>
  <c r="G42" i="5"/>
  <c r="H42" i="5"/>
  <c r="J42" i="5"/>
  <c r="K42" i="5"/>
  <c r="L42" i="5"/>
  <c r="M42" i="5"/>
  <c r="N42" i="5"/>
  <c r="O42" i="5"/>
  <c r="E42" i="5"/>
  <c r="E23" i="3"/>
  <c r="F23" i="3"/>
  <c r="G23" i="3"/>
  <c r="H23" i="3"/>
  <c r="I23" i="3"/>
  <c r="J23" i="3"/>
  <c r="K23" i="3"/>
  <c r="L23" i="3"/>
  <c r="M23" i="3"/>
  <c r="N23" i="3"/>
  <c r="O23" i="3"/>
  <c r="D23" i="3"/>
  <c r="AK41" i="5"/>
  <c r="Q41" i="5"/>
  <c r="T41" i="5" s="1"/>
  <c r="E22" i="3"/>
  <c r="F22" i="3"/>
  <c r="G22" i="3"/>
  <c r="H22" i="3"/>
  <c r="I22" i="3"/>
  <c r="J22" i="3"/>
  <c r="K22" i="3"/>
  <c r="L22" i="3"/>
  <c r="M22" i="3"/>
  <c r="N22" i="3"/>
  <c r="O22" i="3"/>
  <c r="D22" i="3"/>
  <c r="F40" i="5"/>
  <c r="G40" i="5"/>
  <c r="I40" i="5"/>
  <c r="J40" i="5"/>
  <c r="K40" i="5"/>
  <c r="L40" i="5"/>
  <c r="N40" i="5"/>
  <c r="O40" i="5"/>
  <c r="E40" i="5"/>
  <c r="AK39" i="5"/>
  <c r="Q39" i="5"/>
  <c r="T39" i="5" s="1"/>
  <c r="Q27" i="5"/>
  <c r="T27" i="5" s="1"/>
  <c r="E20" i="3"/>
  <c r="F20" i="3"/>
  <c r="G20" i="3"/>
  <c r="H20" i="3"/>
  <c r="I20" i="3"/>
  <c r="J20" i="3"/>
  <c r="K20" i="3"/>
  <c r="L20" i="3"/>
  <c r="M20" i="3"/>
  <c r="N20" i="3"/>
  <c r="O20" i="3"/>
  <c r="E19" i="3"/>
  <c r="F19" i="3"/>
  <c r="G19" i="3"/>
  <c r="H19" i="3"/>
  <c r="I19" i="3"/>
  <c r="J19" i="3"/>
  <c r="K19" i="3"/>
  <c r="L19" i="3"/>
  <c r="M19" i="3"/>
  <c r="N19" i="3"/>
  <c r="O19" i="3"/>
  <c r="E17" i="3"/>
  <c r="F17" i="3"/>
  <c r="G17" i="3"/>
  <c r="H17" i="3"/>
  <c r="I17" i="3"/>
  <c r="J17" i="3"/>
  <c r="K17" i="3"/>
  <c r="L17" i="3"/>
  <c r="M17" i="3"/>
  <c r="N17" i="3"/>
  <c r="O17" i="3"/>
  <c r="E16" i="3"/>
  <c r="F16" i="3"/>
  <c r="G16" i="3"/>
  <c r="H16" i="3"/>
  <c r="I16" i="3"/>
  <c r="J16" i="3"/>
  <c r="K16" i="3"/>
  <c r="L16" i="3"/>
  <c r="M16" i="3"/>
  <c r="N16" i="3"/>
  <c r="O16" i="3"/>
  <c r="E15" i="3"/>
  <c r="F15" i="3"/>
  <c r="G15" i="3"/>
  <c r="H15" i="3"/>
  <c r="I15" i="3"/>
  <c r="J15" i="3"/>
  <c r="K15" i="3"/>
  <c r="L15" i="3"/>
  <c r="M15" i="3"/>
  <c r="N15" i="3"/>
  <c r="O15" i="3"/>
  <c r="E14" i="3"/>
  <c r="F14" i="3"/>
  <c r="G14" i="3"/>
  <c r="H14" i="3"/>
  <c r="I14" i="3"/>
  <c r="J14" i="3"/>
  <c r="K14" i="3"/>
  <c r="L14" i="3"/>
  <c r="M14" i="3"/>
  <c r="N14" i="3"/>
  <c r="O14" i="3"/>
  <c r="D14" i="3"/>
  <c r="E13" i="3"/>
  <c r="F13" i="3"/>
  <c r="G13" i="3"/>
  <c r="H13" i="3"/>
  <c r="I13" i="3"/>
  <c r="J13" i="3"/>
  <c r="K13" i="3"/>
  <c r="L13" i="3"/>
  <c r="M13" i="3"/>
  <c r="N13" i="3"/>
  <c r="O13" i="3"/>
  <c r="D13" i="3"/>
  <c r="E12" i="3"/>
  <c r="F12" i="3"/>
  <c r="G12" i="3"/>
  <c r="H12" i="3"/>
  <c r="I12" i="3"/>
  <c r="J12" i="3"/>
  <c r="K12" i="3"/>
  <c r="L12" i="3"/>
  <c r="M12" i="3"/>
  <c r="N12" i="3"/>
  <c r="O12" i="3"/>
  <c r="D12" i="3"/>
  <c r="E11" i="3"/>
  <c r="F11" i="3"/>
  <c r="G11" i="3"/>
  <c r="H11" i="3"/>
  <c r="I11" i="3"/>
  <c r="J11" i="3"/>
  <c r="K11" i="3"/>
  <c r="L11" i="3"/>
  <c r="M11" i="3"/>
  <c r="N11" i="3"/>
  <c r="O11" i="3"/>
  <c r="D11" i="3"/>
  <c r="E10" i="3"/>
  <c r="F10" i="3"/>
  <c r="G10" i="3"/>
  <c r="H10" i="3"/>
  <c r="I10" i="3"/>
  <c r="J10" i="3"/>
  <c r="K10" i="3"/>
  <c r="L10" i="3"/>
  <c r="M10" i="3"/>
  <c r="N10" i="3"/>
  <c r="O10" i="3"/>
  <c r="D10" i="3"/>
  <c r="Q15" i="5"/>
  <c r="T15" i="5" s="1"/>
  <c r="F36" i="5"/>
  <c r="G36" i="5"/>
  <c r="I36" i="5"/>
  <c r="J36" i="5"/>
  <c r="K36" i="5"/>
  <c r="L36" i="5"/>
  <c r="O36" i="5"/>
  <c r="F34" i="5"/>
  <c r="G34" i="5"/>
  <c r="J34" i="5"/>
  <c r="K34" i="5"/>
  <c r="L34" i="5"/>
  <c r="O34" i="5"/>
  <c r="F28" i="5"/>
  <c r="G28" i="5"/>
  <c r="J28" i="5"/>
  <c r="K28" i="5"/>
  <c r="L28" i="5"/>
  <c r="M28" i="5"/>
  <c r="N28" i="5"/>
  <c r="O28" i="5"/>
  <c r="F26" i="5"/>
  <c r="G26" i="5"/>
  <c r="H26" i="5"/>
  <c r="I26" i="5"/>
  <c r="J26" i="5"/>
  <c r="K26" i="5"/>
  <c r="L26" i="5"/>
  <c r="M26" i="5"/>
  <c r="N26" i="5"/>
  <c r="O26" i="5"/>
  <c r="F24" i="5"/>
  <c r="G24" i="5"/>
  <c r="H24" i="5"/>
  <c r="I24" i="5"/>
  <c r="J24" i="5"/>
  <c r="K24" i="5"/>
  <c r="L24" i="5"/>
  <c r="M24" i="5"/>
  <c r="N24" i="5"/>
  <c r="O24" i="5"/>
  <c r="F20" i="5"/>
  <c r="G20" i="5"/>
  <c r="H20" i="5"/>
  <c r="I20" i="5"/>
  <c r="J20" i="5"/>
  <c r="K20" i="5"/>
  <c r="L20" i="5"/>
  <c r="M20" i="5"/>
  <c r="N20" i="5"/>
  <c r="F16" i="5"/>
  <c r="G16" i="5"/>
  <c r="H16" i="5"/>
  <c r="I16" i="5"/>
  <c r="J16" i="5"/>
  <c r="K16" i="5"/>
  <c r="L16" i="5"/>
  <c r="M16" i="5"/>
  <c r="N16" i="5"/>
  <c r="O16" i="5"/>
  <c r="D20" i="3"/>
  <c r="D19" i="3"/>
  <c r="E34" i="5"/>
  <c r="AK33" i="5"/>
  <c r="Q33" i="5"/>
  <c r="T33" i="5" s="1"/>
  <c r="E16" i="5"/>
  <c r="Q17" i="5"/>
  <c r="T17" i="5" s="1"/>
  <c r="AK35" i="5"/>
  <c r="AK29" i="5"/>
  <c r="AK27" i="5"/>
  <c r="AK25" i="5"/>
  <c r="AK23" i="5"/>
  <c r="AK21" i="5"/>
  <c r="AK19" i="5"/>
  <c r="AK17" i="5"/>
  <c r="AK15" i="5"/>
  <c r="A11" i="3"/>
  <c r="A10" i="3"/>
  <c r="C23" i="3" l="1" a="1"/>
  <c r="C23" i="3" s="1"/>
  <c r="C22" i="3" a="1"/>
  <c r="C22" i="3" s="1"/>
  <c r="R47" i="5"/>
  <c r="C20" i="3" a="1"/>
  <c r="C20" i="3" s="1"/>
  <c r="E36" i="5"/>
  <c r="Q35" i="5"/>
  <c r="T35" i="5" s="1"/>
  <c r="E28" i="5"/>
  <c r="E26" i="5"/>
  <c r="E24" i="5"/>
  <c r="E20" i="5"/>
  <c r="D17" i="3"/>
  <c r="D16" i="3"/>
  <c r="D15" i="3"/>
  <c r="R41" i="5" l="1"/>
  <c r="R39" i="5"/>
  <c r="R35" i="5"/>
  <c r="C19" i="3" a="1"/>
  <c r="C19" i="3" s="1"/>
  <c r="R33" i="5" l="1"/>
  <c r="Q29" i="5"/>
  <c r="T29" i="5" s="1"/>
  <c r="Q25" i="5"/>
  <c r="T25" i="5" s="1"/>
  <c r="Q23" i="5"/>
  <c r="T23" i="5" s="1"/>
  <c r="Q21" i="5"/>
  <c r="T21" i="5" s="1"/>
  <c r="T19" i="5"/>
  <c r="C17" i="3" l="1" a="1"/>
  <c r="C17" i="3" s="1"/>
  <c r="C16" i="3" a="1"/>
  <c r="C16" i="3" s="1"/>
  <c r="R27" i="5" l="1"/>
  <c r="R29" i="5"/>
  <c r="C13" i="3" l="1" a="1"/>
  <c r="C13" i="3" s="1"/>
  <c r="R21" i="5" l="1"/>
  <c r="C15" i="3" l="1" a="1"/>
  <c r="C15" i="3" s="1"/>
  <c r="R25" i="5" s="1"/>
  <c r="Y14" i="3" l="1"/>
  <c r="AB14" i="3"/>
  <c r="AE14" i="3"/>
  <c r="AG14" i="3"/>
  <c r="AK14" i="3"/>
  <c r="AN14" i="3"/>
  <c r="AO14" i="3"/>
  <c r="AS14" i="3"/>
  <c r="AU14" i="3"/>
  <c r="Y12" i="3"/>
  <c r="Z12" i="3"/>
  <c r="AC12" i="3"/>
  <c r="AH12" i="3"/>
  <c r="AK12" i="3"/>
  <c r="AM12" i="3"/>
  <c r="AQ12" i="3"/>
  <c r="AT12" i="3"/>
  <c r="AW12" i="3"/>
  <c r="Y11" i="3"/>
  <c r="AA11" i="3"/>
  <c r="AC11" i="3"/>
  <c r="AF11" i="3"/>
  <c r="AK11" i="3"/>
  <c r="AN11" i="3"/>
  <c r="AQ11" i="3"/>
  <c r="AT11" i="3"/>
  <c r="AV11" i="3"/>
  <c r="C14" i="3" a="1"/>
  <c r="C12" i="3" a="1"/>
  <c r="C12" i="3" s="1"/>
  <c r="R19" i="5" s="1"/>
  <c r="X10" i="3"/>
  <c r="Z10" i="3"/>
  <c r="AD10" i="3"/>
  <c r="AH10" i="3"/>
  <c r="AK10" i="3"/>
  <c r="AM10" i="3"/>
  <c r="AO10" i="3"/>
  <c r="AS10" i="3"/>
  <c r="AU10" i="3"/>
  <c r="W14" i="3"/>
  <c r="AO12" i="3"/>
  <c r="W12" i="3"/>
  <c r="AO11" i="3"/>
  <c r="AE11" i="3"/>
  <c r="W11" i="3"/>
  <c r="V10" i="3" l="1"/>
  <c r="C10" i="3" a="1"/>
  <c r="C10" i="3" s="1"/>
  <c r="P10" i="3"/>
  <c r="C11" i="3" a="1"/>
  <c r="C11" i="3" s="1"/>
  <c r="U14" i="3"/>
  <c r="C14" i="3"/>
  <c r="V12" i="3"/>
  <c r="AP14" i="3"/>
  <c r="AQ14" i="3"/>
  <c r="AG11" i="3"/>
  <c r="AG12" i="3"/>
  <c r="X11" i="3"/>
  <c r="X14" i="3"/>
  <c r="AS11" i="3"/>
  <c r="T14" i="3"/>
  <c r="AJ14" i="3"/>
  <c r="AT10" i="3"/>
  <c r="V14" i="3"/>
  <c r="AF14" i="3"/>
  <c r="AH14" i="3"/>
  <c r="AT14" i="3"/>
  <c r="X12" i="3"/>
  <c r="AH11" i="3"/>
  <c r="U12" i="3"/>
  <c r="AF12" i="3"/>
  <c r="AR11" i="3"/>
  <c r="AN12" i="3"/>
  <c r="AL14" i="3"/>
  <c r="AA10" i="3"/>
  <c r="AB10" i="3"/>
  <c r="AD11" i="3"/>
  <c r="AA12" i="3"/>
  <c r="Z14" i="3"/>
  <c r="AB12" i="3"/>
  <c r="AL12" i="3"/>
  <c r="AA14" i="3"/>
  <c r="AN10" i="3"/>
  <c r="AP11" i="3"/>
  <c r="AP12" i="3"/>
  <c r="AV10" i="3"/>
  <c r="AW10" i="3"/>
  <c r="Y10" i="3"/>
  <c r="W10" i="3"/>
  <c r="AV14" i="3"/>
  <c r="AU11" i="3"/>
  <c r="AI14" i="3"/>
  <c r="AW14" i="3"/>
  <c r="T11" i="3"/>
  <c r="AW11" i="3"/>
  <c r="U11" i="3"/>
  <c r="AI11" i="3"/>
  <c r="AR12" i="3"/>
  <c r="AI10" i="3"/>
  <c r="V11" i="3"/>
  <c r="AJ11" i="3"/>
  <c r="AS12" i="3"/>
  <c r="P11" i="3"/>
  <c r="AJ10" i="3"/>
  <c r="AI12" i="3"/>
  <c r="AU12" i="3"/>
  <c r="AJ12" i="3"/>
  <c r="AV12" i="3"/>
  <c r="AR14" i="3"/>
  <c r="AM14" i="3"/>
  <c r="AC14" i="3"/>
  <c r="AD14" i="3"/>
  <c r="P14" i="3"/>
  <c r="AE12" i="3"/>
  <c r="P12" i="3"/>
  <c r="AD12" i="3"/>
  <c r="Z11" i="3"/>
  <c r="AL11" i="3"/>
  <c r="AM11" i="3"/>
  <c r="AB11" i="3"/>
  <c r="T12" i="3"/>
  <c r="AE10" i="3"/>
  <c r="AF10" i="3"/>
  <c r="AG10" i="3"/>
  <c r="AP10" i="3"/>
  <c r="AQ10" i="3"/>
  <c r="AR10" i="3"/>
  <c r="AL10" i="3"/>
  <c r="AC10" i="3"/>
  <c r="T10" i="3"/>
  <c r="U10" i="3"/>
  <c r="C28" i="3" l="1"/>
  <c r="N30" i="3"/>
  <c r="M31" i="3"/>
  <c r="O29" i="3"/>
  <c r="O31" i="3"/>
  <c r="N31" i="3"/>
  <c r="O30" i="3"/>
  <c r="R15" i="5"/>
  <c r="M29" i="3"/>
  <c r="M30" i="3"/>
  <c r="N29" i="3"/>
  <c r="R23" i="5"/>
  <c r="R17" i="5"/>
  <c r="E31" i="3"/>
  <c r="K29" i="3"/>
  <c r="I31" i="3"/>
  <c r="L31" i="3"/>
  <c r="G30" i="3"/>
  <c r="H31" i="3"/>
  <c r="H29" i="3"/>
  <c r="D31" i="3"/>
  <c r="K31" i="3"/>
  <c r="G31" i="3"/>
  <c r="L30" i="3"/>
  <c r="I29" i="3"/>
  <c r="J31" i="3"/>
  <c r="D30" i="3"/>
  <c r="H30" i="3"/>
  <c r="E29" i="3"/>
  <c r="F30" i="3"/>
  <c r="K30" i="3"/>
  <c r="I30" i="3"/>
  <c r="D29" i="3"/>
  <c r="J30" i="3"/>
  <c r="E30" i="3"/>
  <c r="L29" i="3"/>
  <c r="F29" i="3"/>
  <c r="G29" i="3"/>
  <c r="F31" i="3"/>
  <c r="J29" i="3"/>
  <c r="R51" i="5" l="1"/>
  <c r="Q53" i="5" s="1"/>
  <c r="N28" i="3"/>
  <c r="M28" i="3"/>
  <c r="H28" i="3"/>
  <c r="E28" i="3"/>
  <c r="J28" i="3"/>
  <c r="G28" i="3"/>
  <c r="K28" i="3"/>
  <c r="F28" i="3"/>
  <c r="L28" i="3"/>
  <c r="I28" i="3"/>
  <c r="O28" i="3"/>
  <c r="D28" i="3"/>
  <c r="D40" i="3"/>
  <c r="D34" i="3"/>
  <c r="D39" i="3"/>
  <c r="D35" i="3"/>
  <c r="D41" i="3" l="1"/>
  <c r="D43" i="3" s="1"/>
  <c r="D36" i="3"/>
  <c r="D3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<sst xmlns="http://schemas.openxmlformats.org/spreadsheetml/2006/main" count="554" uniqueCount="152">
  <si>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</si>
  <si>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</si>
  <si>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</si>
  <si>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</si>
  <si>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</si>
  <si>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</si>
  <si>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</si>
  <si>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</si>
  <si>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</si>
  <si>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</si>
  <si>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</si>
  <si>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</si>
  <si>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</si>
  <si>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</si>
  <si>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</si>
  <si>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</si>
  <si>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</si>
  <si>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</si>
  <si>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</si>
  <si>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</si>
  <si>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</si>
  <si>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</si>
  <si>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</si>
  <si>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</si>
  <si>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</si>
  <si>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</si>
  <si>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</si>
  <si>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</si>
  <si>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</si>
  <si>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</si>
  <si>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</si>
  <si>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</si>
  <si>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</si>
  <si>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</si>
  <si>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</si>
  <si>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</si>
  <si>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</si>
  <si>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</si>
  <si>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</si>
  <si>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</si>
  <si>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</si>
  <si>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</si>
  <si>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</si>
  <si>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</si>
  <si>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</si>
  <si>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</si>
  <si>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</si>
  <si>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</si>
  <si>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</si>
  <si>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</si>
  <si>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</si>
  <si>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</si>
  <si>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</si>
  <si>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</si>
  <si>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</si>
  <si>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</si>
  <si>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</si>
  <si>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</si>
  <si>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</si>
  <si>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</si>
  <si>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</si>
  <si>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</si>
  <si>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</si>
  <si>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</si>
  <si>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แอปเปิ้ลแดงวอชิงตันลูกเดี่ยว x 45 P</t>
  </si>
  <si>
    <t>องุ่นแดงไร้เมล็ด 300 g. x 20 p</t>
  </si>
  <si>
    <t>เบอร์รี่ดูโอ้ 160 กรัม x 32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</si>
  <si>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</si>
  <si>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ยอดรวม</t>
  </si>
  <si>
    <t>PO 2</t>
  </si>
  <si>
    <t>ตะกร้า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</si>
  <si>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</si>
  <si>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</si>
  <si>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</si>
  <si>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</si>
  <si>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</si>
  <si>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</si>
  <si>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</si>
  <si>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>ยอดเผื่อ</t>
  </si>
  <si>
    <t>คงเหลือ</t>
  </si>
  <si>
    <t>รวมแพค</t>
  </si>
  <si>
    <t>รวมยอดตะกร้า</t>
  </si>
  <si>
    <t>KK</t>
  </si>
  <si>
    <t>SRR</t>
  </si>
  <si>
    <t>HKT</t>
  </si>
  <si>
    <t>CMI</t>
  </si>
  <si>
    <t>HDY</t>
  </si>
  <si>
    <t>=</t>
  </si>
  <si>
    <t>*เบิกตะกร้ากลับด้วยนะคะ =</t>
  </si>
  <si>
    <t>ใบ</t>
  </si>
  <si>
    <t>เซเว่น-บางบัวทอง</t>
  </si>
  <si>
    <t>PO11</t>
  </si>
  <si>
    <t>PO12</t>
  </si>
  <si>
    <t>ขอนแก่น  KK</t>
  </si>
  <si>
    <t>สุราษร์ธานี   ST</t>
  </si>
  <si>
    <t>เชียงใหม่  CM</t>
  </si>
  <si>
    <t>ภูเก็ต  PK</t>
  </si>
  <si>
    <t>หาดใหญ่  HY</t>
  </si>
  <si>
    <t>14.00 น.</t>
  </si>
  <si>
    <t>13.00 น.</t>
  </si>
  <si>
    <t>11.00 น</t>
  </si>
  <si>
    <t>09.00  น</t>
  </si>
  <si>
    <t>08.00 น.</t>
  </si>
  <si>
    <t>องุ่นดำไร้เมล็ด 150 กรัม x36P</t>
  </si>
  <si>
    <t>องุ่นดำไร้เมล็ด 300 กรัม x20P</t>
  </si>
  <si>
    <t>สาลี่ทอง แพ็ก 2 ผล (400g.) x 15 P</t>
  </si>
  <si>
    <t xml:space="preserve">BlackGrapesSeedless150 g. (8859388000025 )   </t>
  </si>
  <si>
    <t xml:space="preserve">BlackGrapesSeedless300g. (8859388002562 )   </t>
  </si>
  <si>
    <t xml:space="preserve">สตรอเบอร์รี่ 250 กรัม x 18 P </t>
  </si>
  <si>
    <t>องุ่นเคียวโฮ 300 กรัม x 15 P</t>
  </si>
  <si>
    <t xml:space="preserve">Red Seed 200 g.   ( 8859388000100 )                      </t>
  </si>
  <si>
    <t xml:space="preserve">Red Seedless 150 g.  ( 8859388007000 )             </t>
  </si>
  <si>
    <t xml:space="preserve">Straw  USA 250 g.  ( 2003009710008 )             </t>
  </si>
  <si>
    <t xml:space="preserve">Blue  125 g. ( 2003009720007 )                           </t>
  </si>
  <si>
    <t xml:space="preserve">Washington ( 8859388000759 )                    </t>
  </si>
  <si>
    <t xml:space="preserve">Red Seedless 300 g.( 8859388001084 )        </t>
  </si>
  <si>
    <t xml:space="preserve">Berry Duo 160g.  ( 8859388010239 )                    </t>
  </si>
  <si>
    <t xml:space="preserve">Pear 400g  (8859388010284 )  </t>
  </si>
  <si>
    <t xml:space="preserve">Kyoho Grape (888593880000063 )        </t>
  </si>
  <si>
    <t>สินค้า</t>
  </si>
  <si>
    <t>สถานที่จัดส่ง :</t>
  </si>
  <si>
    <t>จำนวน</t>
  </si>
  <si>
    <t>กีวีเขียว แพ็ก 2 ผล</t>
  </si>
  <si>
    <t>2 แพ็ก</t>
  </si>
  <si>
    <t>ลูกไหนจิ๋ว 200 กรัม</t>
  </si>
  <si>
    <t>Food Tect แจ้งวัฒนะ  ( คุณเจี๊ยบ )</t>
  </si>
  <si>
    <t>เชอร์รี่สดนำเข้า 150 กรัม (USA.) x36 P</t>
  </si>
  <si>
    <t xml:space="preserve">Cherry150g (8859388008885 )  </t>
  </si>
  <si>
    <t>องุ่นไชน์มัสแคท 300 กรัมx 15 P</t>
  </si>
  <si>
    <t xml:space="preserve">Shine Muscat 300g ( 88593880000189 )                    </t>
  </si>
  <si>
    <t>ลูกไหนจิ๋ว 200 g. x 27 p</t>
  </si>
  <si>
    <t xml:space="preserve">Plum 200  g. ( 8859388001091 )        </t>
  </si>
  <si>
    <t>องุ่นสวีทแซฟไฟร์300 กรัม x 15 P</t>
  </si>
  <si>
    <t xml:space="preserve">Sweet Sapphire ( 8859388000223 )                    </t>
  </si>
  <si>
    <t>วันที่ 03/08/69 PO.03/08/69</t>
  </si>
  <si>
    <t>ผู้ส่ง : 7-11 บางบัวทอง 4ล้อจัมโบ้</t>
  </si>
  <si>
    <t>วันที่ 05/08/69 PO.05/08/69</t>
  </si>
  <si>
    <t xml:space="preserve">สตรอเบอร์รี่ 250 กรัม x 27 P </t>
  </si>
  <si>
    <t xml:space="preserve">Straw  AUS 250 g.  ( 2003009710008 )             </t>
  </si>
  <si>
    <t xml:space="preserve">สตรอเบอร์รี่ 250 กรัม x 27P </t>
  </si>
  <si>
    <t>แอปเปิ้ลแพ็ก 4 ผล(400 กรัม) x14 P</t>
  </si>
  <si>
    <t>ส้มแพ็ก 4 ผล(450 กรัม) x14 P</t>
  </si>
  <si>
    <t>Apple P.4 (8859388000568 )</t>
  </si>
  <si>
    <t>Mandarin orange P.4 (8859388000445)</t>
  </si>
  <si>
    <t xml:space="preserve">Pear 800g  (8859388010277 )  </t>
  </si>
  <si>
    <t>สาลี่ทอง แพ็ก 4 ผล (800g.) x 8 P</t>
  </si>
  <si>
    <t xml:space="preserve">Princess Apple (8859388001060 )                    </t>
  </si>
  <si>
    <t>แอปเปิ้ลเจ้าหญิง 200 กรัม x 27 P</t>
  </si>
  <si>
    <t>วันที่ 08/09/69 PO.08/09/69</t>
  </si>
  <si>
    <t>ผู้ส่ง : 7-11 บางบัวทอง 4  ล้อ จัมโบ้ 2  รอบ  พี่ตี๋</t>
  </si>
  <si>
    <t>ผู้ส่ง : 7-11 บางบัวทอง 4  ล้อ จัมโบ้  1 รอบ  พี่ตี๋</t>
  </si>
  <si>
    <t>ผู้ส่ง : 7-11 บางบัวทอง 4  ล้อ จัมโบ้   รอบ 2  พี่ตี๋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</si>
</sst>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3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8"/>
      <name val="Aptos Narrow"/>
      <family val="2"/>
      <scheme val="minor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sz val="18"/>
      <color theme="1"/>
      <name val="Arial Narrow"/>
      <family val="2"/>
      <charset val="222"/>
    </font>
    <font>
      <b/>
      <sz val="18"/>
      <color theme="1"/>
      <name val="Arial Narrow"/>
      <family val="2"/>
      <charset val="222"/>
    </font>
    <font>
      <sz val="18"/>
      <color theme="1"/>
      <name val="Angsana New"/>
      <family val="1"/>
      <charset val="222"/>
    </font>
    <font>
      <b/>
      <sz val="30"/>
      <color theme="1"/>
      <name val="Arial Narrow"/>
      <family val="2"/>
    </font>
    <font>
      <b/>
      <sz val="40"/>
      <color theme="1"/>
      <name val="Angsana New"/>
      <family val="1"/>
    </font>
    <font>
      <sz val="40"/>
      <color theme="1"/>
      <name val="Angsana New"/>
      <family val="1"/>
    </font>
    <font>
      <b/>
      <sz val="72"/>
      <color theme="1"/>
      <name val="Arial Narrow"/>
      <family val="2"/>
    </font>
    <font>
      <b/>
      <sz val="50"/>
      <color theme="1"/>
      <name val="CordiaUPC"/>
      <family val="2"/>
    </font>
    <font>
      <b/>
      <sz val="50"/>
      <name val="CordiaUPC"/>
      <family val="2"/>
    </font>
    <font>
      <b/>
      <sz val="50"/>
      <color rgb="FF0000FF"/>
      <name val="CordiaUPC"/>
      <family val="2"/>
    </font>
    <font>
      <sz val="50"/>
      <color theme="1"/>
      <name val="CordiaUPC"/>
      <family val="2"/>
    </font>
    <font>
      <b/>
      <u/>
      <sz val="50"/>
      <color theme="1"/>
      <name val="CordiaUPC"/>
      <family val="2"/>
    </font>
    <font>
      <b/>
      <sz val="40"/>
      <color theme="3"/>
      <name val="CordiaUPC"/>
      <family val="2"/>
    </font>
    <font>
      <b/>
      <sz val="60"/>
      <color theme="1"/>
      <name val="CordiaUPC"/>
      <family val="2"/>
    </font>
    <font>
      <b/>
      <sz val="40"/>
      <color theme="1"/>
      <name val="CordiaUPC"/>
      <family val="2"/>
    </font>
    <font>
      <b/>
      <sz val="50"/>
      <color theme="1"/>
      <name val="CordiaUPC"/>
      <family val="2"/>
      <charset val="222"/>
    </font>
    <font>
      <sz val="50"/>
      <color theme="1"/>
      <name val="CordiaUPC"/>
      <family val="2"/>
      <charset val="222"/>
    </font>
    <font>
      <sz val="50"/>
      <color theme="1"/>
      <name val="Angsana New"/>
      <family val="1"/>
      <charset val="222"/>
    </font>
    <font>
      <b/>
      <sz val="60"/>
      <color theme="1"/>
      <name val="Angsana New"/>
      <family val="1"/>
    </font>
    <font>
      <b/>
      <sz val="37"/>
      <color theme="1"/>
      <name val="Arial"/>
      <family val="2"/>
    </font>
    <font>
      <b/>
      <sz val="37"/>
      <color rgb="FF0000FF"/>
      <name val="Arial"/>
      <family val="2"/>
    </font>
    <font>
      <b/>
      <sz val="37"/>
      <color theme="8" tint="-0.249977111117893"/>
      <name val="Arial"/>
      <family val="2"/>
    </font>
    <font>
      <b/>
      <sz val="37"/>
      <color rgb="FFFF0000"/>
      <name val="Arial"/>
      <family val="2"/>
    </font>
    <font>
      <b/>
      <sz val="37"/>
      <color theme="9" tint="-0.249977111117893"/>
      <name val="Arial"/>
      <family val="2"/>
    </font>
    <font>
      <b/>
      <sz val="60"/>
      <name val="CordiaUPC"/>
      <family val="2"/>
    </font>
    <font>
      <sz val="60"/>
      <color theme="1"/>
      <name val="Angsana New"/>
      <family val="1"/>
    </font>
    <font>
      <sz val="16"/>
      <name val="Angsana New"/>
      <family val="1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C82613"/>
      <name val="Arial"/>
      <family val="2"/>
    </font>
    <font>
      <sz val="10"/>
      <color rgb="FF000000"/>
      <name val="Arial"/>
      <family val="2"/>
    </font>
    <font>
      <b/>
      <sz val="70"/>
      <color theme="1"/>
      <name val="CordiaUPC"/>
      <family val="2"/>
    </font>
    <font>
      <b/>
      <sz val="55"/>
      <color theme="1"/>
      <name val="CordiaUPC"/>
      <family val="2"/>
    </font>
    <font>
      <b/>
      <sz val="60"/>
      <name val="Arial"/>
      <family val="2"/>
    </font>
    <font>
      <sz val="16"/>
      <color rgb="FF000000"/>
      <name val="Angsana New"/>
      <family val="1"/>
    </font>
    <font>
      <b/>
      <sz val="45"/>
      <color theme="8" tint="-0.249977111117893"/>
      <name val="Arial"/>
      <family val="2"/>
    </font>
    <font>
      <b/>
      <sz val="45"/>
      <color rgb="FFFF0000"/>
      <name val="Arial"/>
      <family val="2"/>
    </font>
    <font>
      <b/>
      <sz val="38"/>
      <color rgb="FF000000"/>
      <name val="Arial"/>
      <family val="2"/>
    </font>
    <font>
      <b/>
      <sz val="38"/>
      <color theme="1"/>
      <name val="Arial"/>
      <family val="2"/>
    </font>
    <font>
      <b/>
      <sz val="55"/>
      <name val="Arial"/>
      <family val="2"/>
    </font>
    <font>
      <b/>
      <u/>
      <sz val="55"/>
      <name val="Arial"/>
      <family val="2"/>
    </font>
    <font>
      <b/>
      <sz val="50"/>
      <name val="Arial"/>
      <family val="2"/>
    </font>
    <font>
      <b/>
      <sz val="70"/>
      <color theme="1"/>
      <name val="Angsana New"/>
      <family val="1"/>
    </font>
    <font>
      <b/>
      <sz val="100"/>
      <color theme="3"/>
      <name val="CordiaUPC"/>
      <family val="2"/>
    </font>
    <font>
      <b/>
      <sz val="43"/>
      <color rgb="FF0000FF"/>
      <name val="Arial"/>
      <family val="2"/>
    </font>
    <font>
      <b/>
      <sz val="43"/>
      <color theme="9" tint="-0.249977111117893"/>
      <name val="Arial"/>
      <family val="2"/>
    </font>
    <font>
      <b/>
      <u/>
      <sz val="80"/>
      <color theme="1"/>
      <name val="CordiaUPC"/>
      <family val="2"/>
    </font>
    <font>
      <b/>
      <sz val="50"/>
      <color rgb="FF003399"/>
      <name val="CordiaUPC"/>
      <family val="2"/>
    </font>
    <font>
      <b/>
      <u/>
      <sz val="48"/>
      <name val="CordiaUPC"/>
      <family val="2"/>
    </font>
    <font>
      <b/>
      <u/>
      <sz val="48"/>
      <color rgb="FFFF0000"/>
      <name val="CordiaUPC"/>
      <family val="2"/>
    </font>
    <font>
      <b/>
      <sz val="45"/>
      <color theme="9" tint="-0.249977111117893"/>
      <name val="Arial"/>
      <family val="2"/>
    </font>
    <font>
      <b/>
      <sz val="60"/>
      <color rgb="FF0000FF"/>
      <name val="Arial"/>
      <family val="2"/>
    </font>
    <font>
      <b/>
      <u/>
      <sz val="60"/>
      <color rgb="FF00B050"/>
      <name val="Arial"/>
      <family val="2"/>
    </font>
    <font>
      <b/>
      <sz val="45"/>
      <color theme="1"/>
      <name val="Angsana New"/>
      <family val="1"/>
    </font>
    <font>
      <b/>
      <sz val="60"/>
      <color theme="9" tint="-0.249977111117893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Arial"/>
      <family val="2"/>
    </font>
    <font>
      <b/>
      <sz val="55"/>
      <color rgb="FF000000"/>
      <name val="Arial"/>
      <family val="2"/>
    </font>
    <font>
      <b/>
      <sz val="55"/>
      <color theme="1"/>
      <name val="Arial"/>
      <family val="2"/>
    </font>
    <font>
      <b/>
      <sz val="45"/>
      <color theme="1"/>
      <name val="Arial"/>
      <family val="2"/>
    </font>
    <font>
      <b/>
      <sz val="45"/>
      <color theme="9" tint="-0.499984740745262"/>
      <name val="Arial"/>
      <family val="2"/>
    </font>
    <font>
      <b/>
      <sz val="45"/>
      <name val="Arial"/>
      <family val="2"/>
    </font>
    <font>
      <b/>
      <sz val="45"/>
      <color rgb="FF000000"/>
      <name val="Arial"/>
      <family val="2"/>
    </font>
    <font>
      <b/>
      <sz val="65"/>
      <color theme="1"/>
      <name val="Arial Narrow"/>
      <family val="2"/>
    </font>
    <font>
      <b/>
      <sz val="55"/>
      <color rgb="FF003399"/>
      <name val="CordiaUPC"/>
      <family val="2"/>
    </font>
    <font>
      <b/>
      <sz val="38"/>
      <name val="Arial"/>
      <family val="2"/>
    </font>
    <font>
      <b/>
      <sz val="30"/>
      <color theme="9" tint="-0.499984740745262"/>
      <name val="Arial"/>
      <family val="2"/>
    </font>
    <font>
      <b/>
      <sz val="30"/>
      <color theme="9" tint="-0.249977111117893"/>
      <name val="Arial"/>
      <family val="2"/>
    </font>
    <font>
      <sz val="80"/>
      <color theme="1"/>
      <name val="Angsana New"/>
      <family val="1"/>
    </font>
    <font>
      <b/>
      <sz val="80"/>
      <color theme="1"/>
      <name val="Angsana New"/>
      <family val="1"/>
    </font>
    <font>
      <b/>
      <sz val="39"/>
      <color rgb="FF0000FF"/>
      <name val="Arial"/>
      <family val="2"/>
    </font>
    <font>
      <b/>
      <sz val="39"/>
      <color theme="9" tint="-0.249977111117893"/>
      <name val="Arial"/>
      <family val="2"/>
    </font>
    <font>
      <b/>
      <sz val="60"/>
      <color theme="1"/>
      <name val="CordiaUPC"/>
      <family val="2"/>
      <charset val="222"/>
    </font>
    <font>
      <b/>
      <sz val="70"/>
      <color theme="1"/>
      <name val="CordiaUPC"/>
      <family val="2"/>
      <charset val="222"/>
    </font>
    <font>
      <b/>
      <u/>
      <sz val="110"/>
      <color theme="1"/>
      <name val="CordiaUPC"/>
      <family val="2"/>
    </font>
    <font>
      <b/>
      <sz val="120"/>
      <color theme="3"/>
      <name val="CordiaUPC"/>
      <family val="2"/>
    </font>
    <font>
      <b/>
      <sz val="60"/>
      <color rgb="FF003399"/>
      <name val="CordiaUPC"/>
      <family val="2"/>
    </font>
    <font>
      <b/>
      <sz val="70"/>
      <color rgb="FF003399"/>
      <name val="CordiaUPC"/>
      <family val="2"/>
    </font>
    <font>
      <b/>
      <sz val="90"/>
      <name val="CordiaUPC"/>
      <family val="2"/>
    </font>
    <font>
      <b/>
      <sz val="50"/>
      <color rgb="FF0000FF"/>
      <name val="Arial"/>
      <family val="2"/>
    </font>
    <font>
      <b/>
      <u/>
      <sz val="50"/>
      <color rgb="FF00B050"/>
      <name val="Arial"/>
      <family val="2"/>
    </font>
    <font>
      <b/>
      <u/>
      <sz val="50"/>
      <name val="CordiaUPC"/>
      <family val="2"/>
    </font>
    <font>
      <b/>
      <u/>
      <sz val="50"/>
      <color rgb="FFFF0000"/>
      <name val="CordiaUPC"/>
      <family val="2"/>
    </font>
    <font>
      <b/>
      <sz val="55"/>
      <color rgb="FF0000FF"/>
      <name val="CordiaUPC"/>
      <family val="2"/>
    </font>
    <font>
      <b/>
      <sz val="55"/>
      <name val="CordiaUPC"/>
      <family val="2"/>
    </font>
    <font>
      <b/>
      <sz val="72"/>
      <color theme="1"/>
      <name val="Angsana New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5" fillId="0" borderId="0"/>
    <xf numFmtId="0" fontId="16" fillId="0" borderId="0"/>
    <xf numFmtId="0" fontId="1" fillId="0" borderId="0"/>
    <xf numFmtId="0" fontId="1" fillId="0" borderId="0"/>
    <xf numFmtId="0" fontId="1" fillId="0" borderId="0"/>
  </cellStyleXfs>
  <cellXfs count="40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6" fillId="10" borderId="12" xfId="1" applyFont="1" applyFill="1" applyBorder="1" applyAlignment="1">
      <alignment horizontal="center" vertical="center" wrapText="1"/>
    </xf>
    <xf numFmtId="0" fontId="25" fillId="10" borderId="12" xfId="1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2" fillId="0" borderId="23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7" fillId="0" borderId="29" xfId="1" applyNumberFormat="1" applyFont="1" applyBorder="1" applyAlignment="1">
      <alignment horizontal="center" vertical="center"/>
    </xf>
    <xf numFmtId="3" fontId="40" fillId="0" borderId="31" xfId="1" quotePrefix="1" applyNumberFormat="1" applyFont="1" applyBorder="1" applyAlignment="1">
      <alignment horizontal="center" vertical="center"/>
    </xf>
    <xf numFmtId="3" fontId="37" fillId="0" borderId="30" xfId="1" applyNumberFormat="1" applyFont="1" applyBorder="1" applyAlignment="1">
      <alignment horizontal="center" vertical="center"/>
    </xf>
    <xf numFmtId="3" fontId="37" fillId="2" borderId="29" xfId="1" quotePrefix="1" applyNumberFormat="1" applyFont="1" applyFill="1" applyBorder="1" applyAlignment="1">
      <alignment horizontal="center" vertical="center"/>
    </xf>
    <xf numFmtId="3" fontId="40" fillId="2" borderId="47" xfId="1" quotePrefix="1" applyNumberFormat="1" applyFont="1" applyFill="1" applyBorder="1" applyAlignment="1">
      <alignment horizontal="center" vertical="center"/>
    </xf>
    <xf numFmtId="3" fontId="37" fillId="2" borderId="29" xfId="1" applyNumberFormat="1" applyFont="1" applyFill="1" applyBorder="1" applyAlignment="1">
      <alignment horizontal="center" vertical="center"/>
    </xf>
    <xf numFmtId="3" fontId="40" fillId="2" borderId="31" xfId="1" quotePrefix="1" applyNumberFormat="1" applyFont="1" applyFill="1" applyBorder="1" applyAlignment="1">
      <alignment horizontal="center" vertical="center"/>
    </xf>
    <xf numFmtId="3" fontId="37" fillId="2" borderId="30" xfId="1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3" fillId="10" borderId="16" xfId="1" applyFont="1" applyFill="1" applyBorder="1"/>
    <xf numFmtId="0" fontId="3" fillId="0" borderId="9" xfId="0" applyFont="1" applyBorder="1" applyAlignment="1">
      <alignment horizontal="center" vertical="center" wrapText="1"/>
    </xf>
    <xf numFmtId="0" fontId="44" fillId="11" borderId="17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6" fillId="11" borderId="19" xfId="0" applyFont="1" applyFill="1" applyBorder="1" applyAlignment="1">
      <alignment horizontal="center" vertical="center" wrapText="1"/>
    </xf>
    <xf numFmtId="0" fontId="44" fillId="11" borderId="19" xfId="0" applyFont="1" applyFill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3" fontId="38" fillId="0" borderId="0" xfId="1" applyNumberFormat="1" applyFont="1" applyAlignment="1">
      <alignment horizontal="center" vertical="center"/>
    </xf>
    <xf numFmtId="3" fontId="39" fillId="0" borderId="0" xfId="1" applyNumberFormat="1" applyFont="1" applyAlignment="1">
      <alignment horizontal="center" vertical="center"/>
    </xf>
    <xf numFmtId="3" fontId="50" fillId="0" borderId="16" xfId="1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6" fillId="4" borderId="15" xfId="1" applyFont="1" applyFill="1" applyBorder="1" applyAlignment="1">
      <alignment horizontal="center" vertical="center"/>
    </xf>
    <xf numFmtId="3" fontId="56" fillId="4" borderId="13" xfId="1" applyNumberFormat="1" applyFont="1" applyFill="1" applyBorder="1" applyAlignment="1">
      <alignment horizontal="center" vertical="center"/>
    </xf>
    <xf numFmtId="3" fontId="57" fillId="4" borderId="13" xfId="1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9" fillId="4" borderId="34" xfId="0" applyFont="1" applyFill="1" applyBorder="1" applyAlignment="1">
      <alignment horizontal="center" vertical="center"/>
    </xf>
    <xf numFmtId="0" fontId="59" fillId="3" borderId="3" xfId="0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/>
    </xf>
    <xf numFmtId="0" fontId="59" fillId="4" borderId="35" xfId="0" applyFont="1" applyFill="1" applyBorder="1" applyAlignment="1">
      <alignment horizontal="center" vertical="center"/>
    </xf>
    <xf numFmtId="3" fontId="59" fillId="4" borderId="32" xfId="0" applyNumberFormat="1" applyFont="1" applyFill="1" applyBorder="1" applyAlignment="1">
      <alignment horizontal="center" vertical="center"/>
    </xf>
    <xf numFmtId="3" fontId="59" fillId="3" borderId="1" xfId="0" applyNumberFormat="1" applyFont="1" applyFill="1" applyBorder="1" applyAlignment="1">
      <alignment horizontal="center" vertical="center"/>
    </xf>
    <xf numFmtId="3" fontId="59" fillId="4" borderId="1" xfId="0" applyNumberFormat="1" applyFont="1" applyFill="1" applyBorder="1" applyAlignment="1">
      <alignment horizontal="center" vertical="center"/>
    </xf>
    <xf numFmtId="3" fontId="59" fillId="4" borderId="33" xfId="0" applyNumberFormat="1" applyFont="1" applyFill="1" applyBorder="1" applyAlignment="1">
      <alignment horizontal="center" vertical="center"/>
    </xf>
    <xf numFmtId="0" fontId="59" fillId="4" borderId="32" xfId="0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59" fillId="4" borderId="33" xfId="0" applyFont="1" applyFill="1" applyBorder="1" applyAlignment="1">
      <alignment horizontal="center" vertical="center"/>
    </xf>
    <xf numFmtId="3" fontId="59" fillId="4" borderId="0" xfId="0" applyNumberFormat="1" applyFont="1" applyFill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4" borderId="0" xfId="0" applyFont="1" applyFill="1" applyAlignment="1">
      <alignment horizontal="center" vertical="center"/>
    </xf>
    <xf numFmtId="3" fontId="59" fillId="3" borderId="0" xfId="0" applyNumberFormat="1" applyFont="1" applyFill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3" fontId="61" fillId="0" borderId="44" xfId="1" applyNumberFormat="1" applyFont="1" applyBorder="1" applyAlignment="1">
      <alignment horizontal="center" vertical="center"/>
    </xf>
    <xf numFmtId="3" fontId="61" fillId="0" borderId="29" xfId="1" applyNumberFormat="1" applyFont="1" applyBorder="1" applyAlignment="1">
      <alignment horizontal="center" vertical="center"/>
    </xf>
    <xf numFmtId="3" fontId="61" fillId="0" borderId="45" xfId="1" applyNumberFormat="1" applyFont="1" applyBorder="1" applyAlignment="1">
      <alignment horizontal="center" vertical="center"/>
    </xf>
    <xf numFmtId="3" fontId="62" fillId="0" borderId="31" xfId="1" quotePrefix="1" applyNumberFormat="1" applyFont="1" applyBorder="1" applyAlignment="1">
      <alignment horizontal="center" vertical="center"/>
    </xf>
    <xf numFmtId="3" fontId="61" fillId="0" borderId="46" xfId="1" applyNumberFormat="1" applyFont="1" applyBorder="1" applyAlignment="1">
      <alignment horizontal="center" vertical="center"/>
    </xf>
    <xf numFmtId="3" fontId="61" fillId="0" borderId="30" xfId="1" applyNumberFormat="1" applyFont="1" applyBorder="1" applyAlignment="1">
      <alignment horizontal="center" vertical="center"/>
    </xf>
    <xf numFmtId="3" fontId="61" fillId="2" borderId="30" xfId="1" applyNumberFormat="1" applyFont="1" applyFill="1" applyBorder="1" applyAlignment="1">
      <alignment horizontal="center" vertical="center"/>
    </xf>
    <xf numFmtId="3" fontId="61" fillId="0" borderId="48" xfId="1" applyNumberFormat="1" applyFont="1" applyBorder="1" applyAlignment="1">
      <alignment horizontal="center" vertical="center"/>
    </xf>
    <xf numFmtId="3" fontId="61" fillId="0" borderId="44" xfId="1" quotePrefix="1" applyNumberFormat="1" applyFont="1" applyBorder="1" applyAlignment="1">
      <alignment horizontal="center" vertical="center"/>
    </xf>
    <xf numFmtId="3" fontId="61" fillId="0" borderId="29" xfId="1" quotePrefix="1" applyNumberFormat="1" applyFont="1" applyBorder="1" applyAlignment="1">
      <alignment horizontal="center" vertical="center"/>
    </xf>
    <xf numFmtId="3" fontId="61" fillId="0" borderId="45" xfId="1" quotePrefix="1" applyNumberFormat="1" applyFont="1" applyBorder="1" applyAlignment="1">
      <alignment horizontal="center" vertical="center"/>
    </xf>
    <xf numFmtId="3" fontId="62" fillId="0" borderId="47" xfId="1" quotePrefix="1" applyNumberFormat="1" applyFont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19" xfId="1" applyFont="1" applyFill="1" applyBorder="1"/>
    <xf numFmtId="3" fontId="50" fillId="2" borderId="19" xfId="1" applyNumberFormat="1" applyFont="1" applyFill="1" applyBorder="1" applyAlignment="1">
      <alignment horizontal="center" vertical="center"/>
    </xf>
    <xf numFmtId="0" fontId="64" fillId="9" borderId="40" xfId="1" applyFont="1" applyFill="1" applyBorder="1" applyAlignment="1">
      <alignment horizontal="center" vertical="center" wrapText="1"/>
    </xf>
    <xf numFmtId="0" fontId="64" fillId="9" borderId="22" xfId="1" applyFont="1" applyFill="1" applyBorder="1" applyAlignment="1">
      <alignment horizontal="center" vertical="center" wrapText="1"/>
    </xf>
    <xf numFmtId="0" fontId="64" fillId="7" borderId="36" xfId="1" applyFont="1" applyFill="1" applyBorder="1" applyAlignment="1">
      <alignment horizontal="center" vertical="center" wrapText="1"/>
    </xf>
    <xf numFmtId="0" fontId="64" fillId="7" borderId="22" xfId="1" applyFont="1" applyFill="1" applyBorder="1" applyAlignment="1">
      <alignment horizontal="center" vertical="center" wrapText="1"/>
    </xf>
    <xf numFmtId="0" fontId="64" fillId="6" borderId="36" xfId="1" applyFont="1" applyFill="1" applyBorder="1" applyAlignment="1">
      <alignment horizontal="center" vertical="center" wrapText="1"/>
    </xf>
    <xf numFmtId="0" fontId="64" fillId="6" borderId="17" xfId="1" applyFont="1" applyFill="1" applyBorder="1" applyAlignment="1">
      <alignment horizontal="center" vertical="center" wrapText="1"/>
    </xf>
    <xf numFmtId="0" fontId="64" fillId="5" borderId="40" xfId="1" applyFont="1" applyFill="1" applyBorder="1" applyAlignment="1">
      <alignment horizontal="center" vertical="center" wrapText="1"/>
    </xf>
    <xf numFmtId="0" fontId="64" fillId="5" borderId="17" xfId="1" applyFont="1" applyFill="1" applyBorder="1" applyAlignment="1">
      <alignment horizontal="center" vertical="center" wrapText="1"/>
    </xf>
    <xf numFmtId="0" fontId="64" fillId="8" borderId="36" xfId="1" applyFont="1" applyFill="1" applyBorder="1" applyAlignment="1">
      <alignment horizontal="center" vertical="center" wrapText="1"/>
    </xf>
    <xf numFmtId="0" fontId="64" fillId="8" borderId="25" xfId="1" applyFont="1" applyFill="1" applyBorder="1" applyAlignment="1">
      <alignment vertical="center"/>
    </xf>
    <xf numFmtId="3" fontId="61" fillId="2" borderId="46" xfId="1" applyNumberFormat="1" applyFont="1" applyFill="1" applyBorder="1" applyAlignment="1">
      <alignment horizontal="center" vertical="center"/>
    </xf>
    <xf numFmtId="3" fontId="61" fillId="2" borderId="48" xfId="1" applyNumberFormat="1" applyFont="1" applyFill="1" applyBorder="1" applyAlignment="1">
      <alignment horizontal="center" vertical="center"/>
    </xf>
    <xf numFmtId="0" fontId="36" fillId="0" borderId="12" xfId="1" applyFont="1" applyBorder="1" applyAlignment="1">
      <alignment horizontal="center" vertical="center"/>
    </xf>
    <xf numFmtId="0" fontId="36" fillId="0" borderId="13" xfId="1" applyFont="1" applyBorder="1" applyAlignment="1">
      <alignment horizontal="center" vertical="center"/>
    </xf>
    <xf numFmtId="3" fontId="68" fillId="0" borderId="44" xfId="1" applyNumberFormat="1" applyFont="1" applyBorder="1" applyAlignment="1">
      <alignment horizontal="center" vertical="center"/>
    </xf>
    <xf numFmtId="3" fontId="68" fillId="0" borderId="29" xfId="1" applyNumberFormat="1" applyFont="1" applyBorder="1" applyAlignment="1">
      <alignment horizontal="center" vertical="center"/>
    </xf>
    <xf numFmtId="3" fontId="68" fillId="0" borderId="45" xfId="1" applyNumberFormat="1" applyFont="1" applyBorder="1" applyAlignment="1">
      <alignment horizontal="center" vertical="center"/>
    </xf>
    <xf numFmtId="3" fontId="71" fillId="0" borderId="31" xfId="1" quotePrefix="1" applyNumberFormat="1" applyFont="1" applyBorder="1" applyAlignment="1">
      <alignment horizontal="center" vertical="center"/>
    </xf>
    <xf numFmtId="3" fontId="68" fillId="2" borderId="29" xfId="1" applyNumberFormat="1" applyFont="1" applyFill="1" applyBorder="1" applyAlignment="1">
      <alignment horizontal="center" vertical="center"/>
    </xf>
    <xf numFmtId="3" fontId="68" fillId="0" borderId="46" xfId="1" applyNumberFormat="1" applyFont="1" applyBorder="1" applyAlignment="1">
      <alignment horizontal="center" vertical="center"/>
    </xf>
    <xf numFmtId="3" fontId="68" fillId="0" borderId="30" xfId="1" applyNumberFormat="1" applyFont="1" applyBorder="1" applyAlignment="1">
      <alignment horizontal="center" vertical="center"/>
    </xf>
    <xf numFmtId="3" fontId="68" fillId="2" borderId="30" xfId="1" applyNumberFormat="1" applyFont="1" applyFill="1" applyBorder="1" applyAlignment="1">
      <alignment horizontal="center" vertical="center"/>
    </xf>
    <xf numFmtId="3" fontId="68" fillId="0" borderId="48" xfId="1" applyNumberFormat="1" applyFont="1" applyBorder="1" applyAlignment="1">
      <alignment horizontal="center" vertical="center"/>
    </xf>
    <xf numFmtId="3" fontId="68" fillId="0" borderId="44" xfId="1" quotePrefix="1" applyNumberFormat="1" applyFont="1" applyBorder="1" applyAlignment="1">
      <alignment horizontal="center" vertical="center"/>
    </xf>
    <xf numFmtId="3" fontId="68" fillId="0" borderId="29" xfId="1" quotePrefix="1" applyNumberFormat="1" applyFont="1" applyBorder="1" applyAlignment="1">
      <alignment horizontal="center" vertical="center"/>
    </xf>
    <xf numFmtId="3" fontId="68" fillId="2" borderId="29" xfId="1" quotePrefix="1" applyNumberFormat="1" applyFont="1" applyFill="1" applyBorder="1" applyAlignment="1">
      <alignment horizontal="center" vertical="center"/>
    </xf>
    <xf numFmtId="3" fontId="68" fillId="0" borderId="45" xfId="1" quotePrefix="1" applyNumberFormat="1" applyFont="1" applyBorder="1" applyAlignment="1">
      <alignment horizontal="center" vertical="center"/>
    </xf>
    <xf numFmtId="3" fontId="71" fillId="0" borderId="47" xfId="1" quotePrefix="1" applyNumberFormat="1" applyFont="1" applyBorder="1" applyAlignment="1">
      <alignment horizontal="center" vertical="center"/>
    </xf>
    <xf numFmtId="3" fontId="68" fillId="2" borderId="46" xfId="1" applyNumberFormat="1" applyFont="1" applyFill="1" applyBorder="1" applyAlignment="1">
      <alignment horizontal="center" vertical="center"/>
    </xf>
    <xf numFmtId="3" fontId="68" fillId="2" borderId="48" xfId="1" applyNumberFormat="1" applyFont="1" applyFill="1" applyBorder="1" applyAlignment="1">
      <alignment horizontal="center" vertical="center"/>
    </xf>
    <xf numFmtId="0" fontId="76" fillId="2" borderId="12" xfId="1" applyFont="1" applyFill="1" applyBorder="1" applyAlignment="1">
      <alignment vertical="center"/>
    </xf>
    <xf numFmtId="0" fontId="77" fillId="2" borderId="13" xfId="1" applyFont="1" applyFill="1" applyBorder="1" applyAlignment="1">
      <alignment horizontal="left" vertical="center"/>
    </xf>
    <xf numFmtId="0" fontId="76" fillId="0" borderId="12" xfId="1" applyFont="1" applyBorder="1" applyAlignment="1">
      <alignment vertical="center"/>
    </xf>
    <xf numFmtId="0" fontId="77" fillId="0" borderId="13" xfId="1" applyFont="1" applyBorder="1" applyAlignment="1">
      <alignment horizontal="left" vertical="center"/>
    </xf>
    <xf numFmtId="0" fontId="67" fillId="0" borderId="13" xfId="1" applyFont="1" applyBorder="1" applyAlignment="1">
      <alignment horizontal="left" vertical="center"/>
    </xf>
    <xf numFmtId="0" fontId="78" fillId="0" borderId="12" xfId="1" applyFont="1" applyBorder="1" applyAlignment="1">
      <alignment horizontal="left" vertical="center"/>
    </xf>
    <xf numFmtId="0" fontId="79" fillId="0" borderId="12" xfId="1" applyFont="1" applyBorder="1" applyAlignment="1">
      <alignment vertical="center"/>
    </xf>
    <xf numFmtId="0" fontId="50" fillId="4" borderId="15" xfId="1" applyFont="1" applyFill="1" applyBorder="1" applyAlignment="1">
      <alignment horizontal="center" vertical="center"/>
    </xf>
    <xf numFmtId="0" fontId="56" fillId="4" borderId="24" xfId="1" applyFont="1" applyFill="1" applyBorder="1" applyAlignment="1">
      <alignment horizontal="center" vertical="center"/>
    </xf>
    <xf numFmtId="3" fontId="50" fillId="0" borderId="28" xfId="1" applyNumberFormat="1" applyFont="1" applyBorder="1" applyAlignment="1">
      <alignment horizontal="center" vertical="center"/>
    </xf>
    <xf numFmtId="3" fontId="50" fillId="2" borderId="25" xfId="1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43" fillId="0" borderId="1" xfId="1" applyFont="1" applyBorder="1" applyAlignment="1">
      <alignment horizontal="left" vertical="center"/>
    </xf>
    <xf numFmtId="0" fontId="51" fillId="0" borderId="1" xfId="1" applyFont="1" applyBorder="1" applyAlignment="1">
      <alignment vertical="center"/>
    </xf>
    <xf numFmtId="0" fontId="30" fillId="2" borderId="0" xfId="0" applyFont="1" applyFill="1" applyAlignment="1">
      <alignment vertical="center"/>
    </xf>
    <xf numFmtId="0" fontId="23" fillId="10" borderId="0" xfId="1" applyFont="1" applyFill="1"/>
    <xf numFmtId="0" fontId="80" fillId="0" borderId="0" xfId="1" applyFont="1"/>
    <xf numFmtId="0" fontId="80" fillId="0" borderId="16" xfId="1" applyFont="1" applyBorder="1"/>
    <xf numFmtId="0" fontId="55" fillId="2" borderId="12" xfId="1" applyFont="1" applyFill="1" applyBorder="1" applyAlignment="1">
      <alignment vertical="center"/>
    </xf>
    <xf numFmtId="0" fontId="55" fillId="0" borderId="12" xfId="1" applyFont="1" applyBorder="1" applyAlignment="1">
      <alignment vertical="center"/>
    </xf>
    <xf numFmtId="0" fontId="82" fillId="0" borderId="12" xfId="1" applyFont="1" applyBorder="1" applyAlignment="1">
      <alignment horizontal="left" vertical="center"/>
    </xf>
    <xf numFmtId="0" fontId="54" fillId="0" borderId="12" xfId="1" applyFont="1" applyBorder="1" applyAlignment="1">
      <alignment vertical="center"/>
    </xf>
    <xf numFmtId="0" fontId="83" fillId="2" borderId="13" xfId="1" applyFont="1" applyFill="1" applyBorder="1" applyAlignment="1">
      <alignment horizontal="left" vertical="center"/>
    </xf>
    <xf numFmtId="0" fontId="83" fillId="0" borderId="13" xfId="1" applyFont="1" applyBorder="1" applyAlignment="1">
      <alignment horizontal="left" vertical="center"/>
    </xf>
    <xf numFmtId="0" fontId="84" fillId="0" borderId="13" xfId="1" applyFont="1" applyBorder="1" applyAlignment="1">
      <alignment horizontal="left" vertical="center"/>
    </xf>
    <xf numFmtId="0" fontId="85" fillId="0" borderId="0" xfId="0" applyFont="1" applyAlignment="1">
      <alignment horizontal="center" vertical="center"/>
    </xf>
    <xf numFmtId="0" fontId="86" fillId="4" borderId="34" xfId="0" applyFont="1" applyFill="1" applyBorder="1" applyAlignment="1">
      <alignment horizontal="center" vertical="center"/>
    </xf>
    <xf numFmtId="0" fontId="86" fillId="3" borderId="3" xfId="0" applyFont="1" applyFill="1" applyBorder="1" applyAlignment="1">
      <alignment horizontal="center" vertical="center"/>
    </xf>
    <xf numFmtId="0" fontId="86" fillId="4" borderId="3" xfId="0" applyFont="1" applyFill="1" applyBorder="1" applyAlignment="1">
      <alignment horizontal="center" vertical="center"/>
    </xf>
    <xf numFmtId="0" fontId="86" fillId="4" borderId="35" xfId="0" applyFont="1" applyFill="1" applyBorder="1" applyAlignment="1">
      <alignment horizontal="center" vertical="center"/>
    </xf>
    <xf numFmtId="3" fontId="86" fillId="4" borderId="32" xfId="0" applyNumberFormat="1" applyFont="1" applyFill="1" applyBorder="1" applyAlignment="1">
      <alignment horizontal="center" vertical="center"/>
    </xf>
    <xf numFmtId="3" fontId="86" fillId="3" borderId="1" xfId="0" applyNumberFormat="1" applyFont="1" applyFill="1" applyBorder="1" applyAlignment="1">
      <alignment horizontal="center" vertical="center"/>
    </xf>
    <xf numFmtId="3" fontId="86" fillId="4" borderId="1" xfId="0" applyNumberFormat="1" applyFont="1" applyFill="1" applyBorder="1" applyAlignment="1">
      <alignment horizontal="center" vertical="center"/>
    </xf>
    <xf numFmtId="3" fontId="86" fillId="4" borderId="33" xfId="0" applyNumberFormat="1" applyFont="1" applyFill="1" applyBorder="1" applyAlignment="1">
      <alignment horizontal="center" vertical="center"/>
    </xf>
    <xf numFmtId="0" fontId="86" fillId="4" borderId="32" xfId="0" applyFont="1" applyFill="1" applyBorder="1" applyAlignment="1">
      <alignment horizontal="center" vertical="center"/>
    </xf>
    <xf numFmtId="0" fontId="86" fillId="3" borderId="1" xfId="0" applyFont="1" applyFill="1" applyBorder="1" applyAlignment="1">
      <alignment horizontal="center" vertical="center"/>
    </xf>
    <xf numFmtId="0" fontId="86" fillId="4" borderId="1" xfId="0" applyFont="1" applyFill="1" applyBorder="1" applyAlignment="1">
      <alignment horizontal="center" vertical="center"/>
    </xf>
    <xf numFmtId="0" fontId="86" fillId="4" borderId="33" xfId="0" applyFont="1" applyFill="1" applyBorder="1" applyAlignment="1">
      <alignment horizontal="center" vertical="center"/>
    </xf>
    <xf numFmtId="3" fontId="86" fillId="4" borderId="0" xfId="0" applyNumberFormat="1" applyFont="1" applyFill="1" applyAlignment="1">
      <alignment horizontal="center" vertical="center"/>
    </xf>
    <xf numFmtId="0" fontId="86" fillId="3" borderId="0" xfId="0" applyFont="1" applyFill="1" applyAlignment="1">
      <alignment horizontal="center" vertical="center"/>
    </xf>
    <xf numFmtId="0" fontId="86" fillId="4" borderId="0" xfId="0" applyFont="1" applyFill="1" applyAlignment="1">
      <alignment horizontal="center" vertical="center"/>
    </xf>
    <xf numFmtId="3" fontId="86" fillId="3" borderId="0" xfId="0" applyNumberFormat="1" applyFont="1" applyFill="1" applyAlignment="1">
      <alignment horizontal="center" vertical="center"/>
    </xf>
    <xf numFmtId="3" fontId="56" fillId="0" borderId="23" xfId="1" applyNumberFormat="1" applyFont="1" applyBorder="1" applyAlignment="1">
      <alignment horizontal="center" vertical="center"/>
    </xf>
    <xf numFmtId="3" fontId="57" fillId="0" borderId="23" xfId="1" applyNumberFormat="1" applyFont="1" applyBorder="1" applyAlignment="1">
      <alignment horizontal="center" vertical="center"/>
    </xf>
    <xf numFmtId="0" fontId="84" fillId="2" borderId="13" xfId="1" applyFont="1" applyFill="1" applyBorder="1" applyAlignment="1">
      <alignment horizontal="left" vertical="center"/>
    </xf>
    <xf numFmtId="3" fontId="87" fillId="0" borderId="44" xfId="1" applyNumberFormat="1" applyFont="1" applyBorder="1" applyAlignment="1">
      <alignment horizontal="center" vertical="center"/>
    </xf>
    <xf numFmtId="3" fontId="87" fillId="0" borderId="29" xfId="1" applyNumberFormat="1" applyFont="1" applyBorder="1" applyAlignment="1">
      <alignment horizontal="center" vertical="center"/>
    </xf>
    <xf numFmtId="3" fontId="87" fillId="0" borderId="45" xfId="1" applyNumberFormat="1" applyFont="1" applyBorder="1" applyAlignment="1">
      <alignment horizontal="center" vertical="center"/>
    </xf>
    <xf numFmtId="3" fontId="88" fillId="0" borderId="31" xfId="1" quotePrefix="1" applyNumberFormat="1" applyFont="1" applyBorder="1" applyAlignment="1">
      <alignment horizontal="center" vertical="center"/>
    </xf>
    <xf numFmtId="3" fontId="87" fillId="2" borderId="29" xfId="1" applyNumberFormat="1" applyFont="1" applyFill="1" applyBorder="1" applyAlignment="1">
      <alignment horizontal="center" vertical="center"/>
    </xf>
    <xf numFmtId="3" fontId="87" fillId="0" borderId="46" xfId="1" applyNumberFormat="1" applyFont="1" applyBorder="1" applyAlignment="1">
      <alignment horizontal="center" vertical="center"/>
    </xf>
    <xf numFmtId="3" fontId="87" fillId="0" borderId="30" xfId="1" applyNumberFormat="1" applyFont="1" applyBorder="1" applyAlignment="1">
      <alignment horizontal="center" vertical="center"/>
    </xf>
    <xf numFmtId="3" fontId="87" fillId="2" borderId="30" xfId="1" applyNumberFormat="1" applyFont="1" applyFill="1" applyBorder="1" applyAlignment="1">
      <alignment horizontal="center" vertical="center"/>
    </xf>
    <xf numFmtId="3" fontId="87" fillId="0" borderId="48" xfId="1" applyNumberFormat="1" applyFont="1" applyBorder="1" applyAlignment="1">
      <alignment horizontal="center" vertical="center"/>
    </xf>
    <xf numFmtId="3" fontId="87" fillId="2" borderId="48" xfId="1" applyNumberFormat="1" applyFont="1" applyFill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90" fillId="0" borderId="0" xfId="0" applyFont="1" applyAlignment="1">
      <alignment vertical="center"/>
    </xf>
    <xf numFmtId="0" fontId="89" fillId="0" borderId="0" xfId="0" applyFont="1" applyAlignment="1">
      <alignment vertical="center"/>
    </xf>
    <xf numFmtId="0" fontId="33" fillId="0" borderId="16" xfId="0" applyFont="1" applyBorder="1" applyAlignment="1">
      <alignment horizontal="center" vertical="center"/>
    </xf>
    <xf numFmtId="0" fontId="94" fillId="9" borderId="50" xfId="1" applyFont="1" applyFill="1" applyBorder="1" applyAlignment="1">
      <alignment horizontal="center" vertical="center" wrapText="1"/>
    </xf>
    <xf numFmtId="0" fontId="94" fillId="9" borderId="28" xfId="1" applyFont="1" applyFill="1" applyBorder="1" applyAlignment="1">
      <alignment horizontal="center" vertical="center" wrapText="1"/>
    </xf>
    <xf numFmtId="0" fontId="94" fillId="7" borderId="50" xfId="1" applyFont="1" applyFill="1" applyBorder="1" applyAlignment="1">
      <alignment horizontal="center" vertical="center" wrapText="1"/>
    </xf>
    <xf numFmtId="0" fontId="94" fillId="7" borderId="28" xfId="1" applyFont="1" applyFill="1" applyBorder="1" applyAlignment="1">
      <alignment horizontal="center" vertical="center" wrapText="1"/>
    </xf>
    <xf numFmtId="0" fontId="94" fillId="6" borderId="50" xfId="1" applyFont="1" applyFill="1" applyBorder="1" applyAlignment="1">
      <alignment horizontal="center" vertical="center" wrapText="1"/>
    </xf>
    <xf numFmtId="0" fontId="94" fillId="6" borderId="25" xfId="1" applyFont="1" applyFill="1" applyBorder="1" applyAlignment="1">
      <alignment horizontal="center" vertical="center" wrapText="1"/>
    </xf>
    <xf numFmtId="0" fontId="94" fillId="5" borderId="51" xfId="1" applyFont="1" applyFill="1" applyBorder="1" applyAlignment="1">
      <alignment horizontal="center" vertical="center" wrapText="1"/>
    </xf>
    <xf numFmtId="0" fontId="94" fillId="5" borderId="25" xfId="1" applyFont="1" applyFill="1" applyBorder="1" applyAlignment="1">
      <alignment horizontal="center" vertical="center" wrapText="1"/>
    </xf>
    <xf numFmtId="0" fontId="94" fillId="8" borderId="50" xfId="1" applyFont="1" applyFill="1" applyBorder="1" applyAlignment="1">
      <alignment horizontal="center" vertical="center" wrapText="1"/>
    </xf>
    <xf numFmtId="0" fontId="94" fillId="8" borderId="23" xfId="1" applyFont="1" applyFill="1" applyBorder="1" applyAlignment="1">
      <alignment horizontal="center" vertical="center" wrapText="1"/>
    </xf>
    <xf numFmtId="0" fontId="100" fillId="10" borderId="23" xfId="1" applyFont="1" applyFill="1" applyBorder="1" applyAlignment="1">
      <alignment horizontal="center" vertical="center" wrapText="1"/>
    </xf>
    <xf numFmtId="0" fontId="101" fillId="10" borderId="23" xfId="1" applyFont="1" applyFill="1" applyBorder="1" applyAlignment="1">
      <alignment horizontal="center" vertical="center" wrapText="1"/>
    </xf>
    <xf numFmtId="0" fontId="56" fillId="12" borderId="24" xfId="1" applyFont="1" applyFill="1" applyBorder="1" applyAlignment="1">
      <alignment horizontal="center" vertical="center"/>
    </xf>
    <xf numFmtId="0" fontId="86" fillId="0" borderId="0" xfId="0" applyFont="1" applyAlignment="1">
      <alignment vertical="center"/>
    </xf>
    <xf numFmtId="0" fontId="56" fillId="2" borderId="24" xfId="1" applyFont="1" applyFill="1" applyBorder="1" applyAlignment="1">
      <alignment horizontal="center" vertical="center"/>
    </xf>
    <xf numFmtId="0" fontId="31" fillId="0" borderId="42" xfId="0" applyFont="1" applyBorder="1" applyAlignment="1">
      <alignment horizontal="left" vertical="center"/>
    </xf>
    <xf numFmtId="0" fontId="31" fillId="0" borderId="43" xfId="0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31" fillId="0" borderId="31" xfId="0" applyFont="1" applyBorder="1" applyAlignment="1">
      <alignment horizontal="left" vertical="center"/>
    </xf>
    <xf numFmtId="0" fontId="31" fillId="0" borderId="41" xfId="0" applyFont="1" applyBorder="1" applyAlignment="1">
      <alignment horizontal="left" vertical="center"/>
    </xf>
    <xf numFmtId="0" fontId="24" fillId="0" borderId="3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58" fillId="4" borderId="24" xfId="1" applyFont="1" applyFill="1" applyBorder="1" applyAlignment="1">
      <alignment horizontal="center" vertical="center"/>
    </xf>
    <xf numFmtId="0" fontId="58" fillId="4" borderId="28" xfId="1" applyFont="1" applyFill="1" applyBorder="1" applyAlignment="1">
      <alignment horizontal="center" vertical="center"/>
    </xf>
    <xf numFmtId="0" fontId="58" fillId="4" borderId="25" xfId="1" applyFont="1" applyFill="1" applyBorder="1" applyAlignment="1">
      <alignment horizontal="center" vertical="center"/>
    </xf>
    <xf numFmtId="0" fontId="49" fillId="0" borderId="24" xfId="0" applyFont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3" fontId="91" fillId="0" borderId="0" xfId="0" applyNumberFormat="1" applyFont="1" applyAlignment="1">
      <alignment horizontal="center" vertical="center"/>
    </xf>
    <xf numFmtId="3" fontId="91" fillId="0" borderId="49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44" xfId="0" applyFont="1" applyBorder="1" applyAlignment="1">
      <alignment horizontal="left" vertical="center"/>
    </xf>
    <xf numFmtId="0" fontId="31" fillId="0" borderId="45" xfId="0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3" xfId="1" applyFont="1" applyBorder="1" applyAlignment="1">
      <alignment horizontal="center" vertical="center"/>
    </xf>
    <xf numFmtId="3" fontId="96" fillId="0" borderId="12" xfId="1" applyNumberFormat="1" applyFont="1" applyBorder="1" applyAlignment="1">
      <alignment horizontal="center" vertical="center"/>
    </xf>
    <xf numFmtId="3" fontId="96" fillId="0" borderId="13" xfId="1" applyNumberFormat="1" applyFont="1" applyBorder="1" applyAlignment="1">
      <alignment horizontal="center" vertical="center"/>
    </xf>
    <xf numFmtId="3" fontId="97" fillId="0" borderId="12" xfId="1" applyNumberFormat="1" applyFont="1" applyBorder="1" applyAlignment="1">
      <alignment horizontal="center" vertical="center"/>
    </xf>
    <xf numFmtId="3" fontId="97" fillId="0" borderId="13" xfId="1" applyNumberFormat="1" applyFont="1" applyBorder="1" applyAlignment="1">
      <alignment horizontal="center" vertical="center"/>
    </xf>
    <xf numFmtId="3" fontId="52" fillId="0" borderId="12" xfId="1" applyNumberFormat="1" applyFont="1" applyBorder="1" applyAlignment="1">
      <alignment horizontal="center" vertical="center"/>
    </xf>
    <xf numFmtId="3" fontId="52" fillId="0" borderId="13" xfId="1" applyNumberFormat="1" applyFont="1" applyBorder="1" applyAlignment="1">
      <alignment horizontal="center" vertical="center"/>
    </xf>
    <xf numFmtId="3" fontId="53" fillId="2" borderId="12" xfId="1" applyNumberFormat="1" applyFont="1" applyFill="1" applyBorder="1" applyAlignment="1">
      <alignment horizontal="center" vertical="center"/>
    </xf>
    <xf numFmtId="3" fontId="53" fillId="2" borderId="13" xfId="1" applyNumberFormat="1" applyFont="1" applyFill="1" applyBorder="1" applyAlignment="1">
      <alignment horizontal="center" vertical="center"/>
    </xf>
    <xf numFmtId="0" fontId="54" fillId="2" borderId="12" xfId="1" applyFont="1" applyFill="1" applyBorder="1" applyAlignment="1">
      <alignment horizontal="center" vertical="center"/>
    </xf>
    <xf numFmtId="0" fontId="54" fillId="2" borderId="13" xfId="1" applyFont="1" applyFill="1" applyBorder="1" applyAlignment="1">
      <alignment horizontal="center" vertical="center"/>
    </xf>
    <xf numFmtId="3" fontId="97" fillId="0" borderId="14" xfId="1" applyNumberFormat="1" applyFont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16" xfId="0" applyFont="1" applyFill="1" applyBorder="1" applyAlignment="1">
      <alignment horizontal="left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92" fillId="10" borderId="18" xfId="1" applyFont="1" applyFill="1" applyBorder="1" applyAlignment="1">
      <alignment horizontal="center" vertical="center"/>
    </xf>
    <xf numFmtId="0" fontId="92" fillId="10" borderId="17" xfId="1" applyFont="1" applyFill="1" applyBorder="1" applyAlignment="1">
      <alignment horizontal="center" vertical="center"/>
    </xf>
    <xf numFmtId="0" fontId="92" fillId="10" borderId="21" xfId="1" applyFont="1" applyFill="1" applyBorder="1" applyAlignment="1">
      <alignment horizontal="center" vertical="center"/>
    </xf>
    <xf numFmtId="0" fontId="92" fillId="10" borderId="20" xfId="1" applyFont="1" applyFill="1" applyBorder="1" applyAlignment="1">
      <alignment horizontal="center" vertical="center"/>
    </xf>
    <xf numFmtId="0" fontId="92" fillId="10" borderId="15" xfId="1" applyFont="1" applyFill="1" applyBorder="1" applyAlignment="1">
      <alignment horizontal="center" vertical="center"/>
    </xf>
    <xf numFmtId="0" fontId="92" fillId="10" borderId="19" xfId="1" applyFont="1" applyFill="1" applyBorder="1" applyAlignment="1">
      <alignment horizontal="center" vertical="center"/>
    </xf>
    <xf numFmtId="0" fontId="29" fillId="10" borderId="12" xfId="1" applyFont="1" applyFill="1" applyBorder="1" applyAlignment="1">
      <alignment horizontal="center" vertical="center" wrapText="1"/>
    </xf>
    <xf numFmtId="0" fontId="29" fillId="10" borderId="14" xfId="1" applyFont="1" applyFill="1" applyBorder="1" applyAlignment="1">
      <alignment horizontal="center" vertical="center" wrapText="1"/>
    </xf>
    <xf numFmtId="0" fontId="29" fillId="10" borderId="13" xfId="1" applyFont="1" applyFill="1" applyBorder="1" applyAlignment="1">
      <alignment horizontal="center" vertical="center" wrapText="1"/>
    </xf>
    <xf numFmtId="0" fontId="93" fillId="9" borderId="24" xfId="1" applyFont="1" applyFill="1" applyBorder="1" applyAlignment="1">
      <alignment horizontal="center" vertical="center"/>
    </xf>
    <xf numFmtId="0" fontId="93" fillId="9" borderId="25" xfId="1" applyFont="1" applyFill="1" applyBorder="1" applyAlignment="1">
      <alignment horizontal="center" vertical="center"/>
    </xf>
    <xf numFmtId="0" fontId="93" fillId="7" borderId="24" xfId="1" applyFont="1" applyFill="1" applyBorder="1" applyAlignment="1">
      <alignment horizontal="center" vertical="center"/>
    </xf>
    <xf numFmtId="0" fontId="93" fillId="7" borderId="25" xfId="1" applyFont="1" applyFill="1" applyBorder="1" applyAlignment="1">
      <alignment horizontal="center" vertical="center"/>
    </xf>
    <xf numFmtId="0" fontId="93" fillId="6" borderId="24" xfId="1" applyFont="1" applyFill="1" applyBorder="1" applyAlignment="1">
      <alignment horizontal="center" vertical="center"/>
    </xf>
    <xf numFmtId="0" fontId="93" fillId="6" borderId="25" xfId="1" applyFont="1" applyFill="1" applyBorder="1" applyAlignment="1">
      <alignment horizontal="center" vertical="center"/>
    </xf>
    <xf numFmtId="0" fontId="93" fillId="5" borderId="24" xfId="1" applyFont="1" applyFill="1" applyBorder="1" applyAlignment="1">
      <alignment horizontal="center" vertical="center"/>
    </xf>
    <xf numFmtId="0" fontId="93" fillId="5" borderId="28" xfId="1" applyFont="1" applyFill="1" applyBorder="1" applyAlignment="1">
      <alignment horizontal="center" vertical="center"/>
    </xf>
    <xf numFmtId="0" fontId="93" fillId="5" borderId="25" xfId="1" applyFont="1" applyFill="1" applyBorder="1" applyAlignment="1">
      <alignment horizontal="center" vertical="center"/>
    </xf>
    <xf numFmtId="0" fontId="93" fillId="8" borderId="24" xfId="1" applyFont="1" applyFill="1" applyBorder="1" applyAlignment="1">
      <alignment horizontal="center" vertical="center"/>
    </xf>
    <xf numFmtId="0" fontId="93" fillId="8" borderId="28" xfId="1" applyFont="1" applyFill="1" applyBorder="1" applyAlignment="1">
      <alignment horizontal="center" vertical="center"/>
    </xf>
    <xf numFmtId="0" fontId="93" fillId="8" borderId="25" xfId="1" applyFont="1" applyFill="1" applyBorder="1" applyAlignment="1">
      <alignment horizontal="center" vertical="center"/>
    </xf>
    <xf numFmtId="0" fontId="95" fillId="10" borderId="18" xfId="1" applyFont="1" applyFill="1" applyBorder="1" applyAlignment="1">
      <alignment horizontal="center" vertical="center" wrapText="1"/>
    </xf>
    <xf numFmtId="0" fontId="95" fillId="10" borderId="17" xfId="1" applyFont="1" applyFill="1" applyBorder="1" applyAlignment="1">
      <alignment horizontal="center" vertical="center" wrapText="1"/>
    </xf>
    <xf numFmtId="0" fontId="95" fillId="10" borderId="15" xfId="1" applyFont="1" applyFill="1" applyBorder="1" applyAlignment="1">
      <alignment horizontal="center" vertical="center" wrapText="1"/>
    </xf>
    <xf numFmtId="0" fontId="95" fillId="10" borderId="19" xfId="1" applyFont="1" applyFill="1" applyBorder="1" applyAlignment="1">
      <alignment horizontal="center" vertical="center" wrapText="1"/>
    </xf>
    <xf numFmtId="0" fontId="98" fillId="10" borderId="12" xfId="1" applyFont="1" applyFill="1" applyBorder="1" applyAlignment="1">
      <alignment horizontal="center" vertical="center" wrapText="1"/>
    </xf>
    <xf numFmtId="0" fontId="98" fillId="10" borderId="14" xfId="1" applyFont="1" applyFill="1" applyBorder="1" applyAlignment="1">
      <alignment horizontal="center" vertical="center" wrapText="1"/>
    </xf>
    <xf numFmtId="0" fontId="98" fillId="10" borderId="13" xfId="1" applyFont="1" applyFill="1" applyBorder="1" applyAlignment="1">
      <alignment horizontal="center" vertical="center" wrapText="1"/>
    </xf>
    <xf numFmtId="0" fontId="99" fillId="2" borderId="12" xfId="1" applyFont="1" applyFill="1" applyBorder="1" applyAlignment="1">
      <alignment horizontal="center" vertical="center" wrapText="1"/>
    </xf>
    <xf numFmtId="0" fontId="99" fillId="2" borderId="14" xfId="1" applyFont="1" applyFill="1" applyBorder="1" applyAlignment="1">
      <alignment horizontal="center" vertical="center" wrapText="1"/>
    </xf>
    <xf numFmtId="0" fontId="99" fillId="2" borderId="13" xfId="1" applyFont="1" applyFill="1" applyBorder="1" applyAlignment="1">
      <alignment horizontal="center" vertical="center" wrapText="1"/>
    </xf>
    <xf numFmtId="0" fontId="86" fillId="4" borderId="36" xfId="0" applyFont="1" applyFill="1" applyBorder="1" applyAlignment="1">
      <alignment horizontal="center" vertical="center"/>
    </xf>
    <xf numFmtId="0" fontId="86" fillId="4" borderId="26" xfId="0" applyFont="1" applyFill="1" applyBorder="1" applyAlignment="1">
      <alignment horizontal="center" vertical="center"/>
    </xf>
    <xf numFmtId="0" fontId="86" fillId="3" borderId="37" xfId="0" applyFont="1" applyFill="1" applyBorder="1" applyAlignment="1">
      <alignment horizontal="center" vertical="center"/>
    </xf>
    <xf numFmtId="0" fontId="86" fillId="3" borderId="39" xfId="0" applyFont="1" applyFill="1" applyBorder="1" applyAlignment="1">
      <alignment horizontal="center" vertical="center"/>
    </xf>
    <xf numFmtId="0" fontId="86" fillId="4" borderId="37" xfId="0" applyFont="1" applyFill="1" applyBorder="1" applyAlignment="1">
      <alignment horizontal="center" vertical="center"/>
    </xf>
    <xf numFmtId="0" fontId="86" fillId="4" borderId="39" xfId="0" applyFont="1" applyFill="1" applyBorder="1" applyAlignment="1">
      <alignment horizontal="center" vertical="center"/>
    </xf>
    <xf numFmtId="0" fontId="86" fillId="4" borderId="38" xfId="0" applyFont="1" applyFill="1" applyBorder="1" applyAlignment="1">
      <alignment horizontal="center" vertical="center"/>
    </xf>
    <xf numFmtId="0" fontId="86" fillId="4" borderId="27" xfId="0" applyFont="1" applyFill="1" applyBorder="1" applyAlignment="1">
      <alignment horizontal="center" vertical="center"/>
    </xf>
    <xf numFmtId="0" fontId="81" fillId="9" borderId="24" xfId="1" applyFont="1" applyFill="1" applyBorder="1" applyAlignment="1">
      <alignment horizontal="center" vertical="center"/>
    </xf>
    <xf numFmtId="0" fontId="81" fillId="9" borderId="25" xfId="1" applyFont="1" applyFill="1" applyBorder="1" applyAlignment="1">
      <alignment horizontal="center" vertical="center"/>
    </xf>
    <xf numFmtId="0" fontId="81" fillId="7" borderId="24" xfId="1" applyFont="1" applyFill="1" applyBorder="1" applyAlignment="1">
      <alignment horizontal="center" vertical="center"/>
    </xf>
    <xf numFmtId="0" fontId="81" fillId="7" borderId="25" xfId="1" applyFont="1" applyFill="1" applyBorder="1" applyAlignment="1">
      <alignment horizontal="center" vertical="center"/>
    </xf>
    <xf numFmtId="0" fontId="81" fillId="6" borderId="24" xfId="1" applyFont="1" applyFill="1" applyBorder="1" applyAlignment="1">
      <alignment horizontal="center" vertical="center"/>
    </xf>
    <xf numFmtId="0" fontId="81" fillId="6" borderId="25" xfId="1" applyFont="1" applyFill="1" applyBorder="1" applyAlignment="1">
      <alignment horizontal="center" vertical="center"/>
    </xf>
    <xf numFmtId="0" fontId="81" fillId="5" borderId="24" xfId="1" applyFont="1" applyFill="1" applyBorder="1" applyAlignment="1">
      <alignment horizontal="center" vertical="center"/>
    </xf>
    <xf numFmtId="0" fontId="81" fillId="5" borderId="28" xfId="1" applyFont="1" applyFill="1" applyBorder="1" applyAlignment="1">
      <alignment horizontal="center" vertical="center"/>
    </xf>
    <xf numFmtId="0" fontId="81" fillId="5" borderId="25" xfId="1" applyFont="1" applyFill="1" applyBorder="1" applyAlignment="1">
      <alignment horizontal="center" vertical="center"/>
    </xf>
    <xf numFmtId="0" fontId="81" fillId="8" borderId="24" xfId="1" applyFont="1" applyFill="1" applyBorder="1" applyAlignment="1">
      <alignment horizontal="center" vertical="center"/>
    </xf>
    <xf numFmtId="0" fontId="81" fillId="8" borderId="28" xfId="1" applyFont="1" applyFill="1" applyBorder="1" applyAlignment="1">
      <alignment horizontal="center" vertical="center"/>
    </xf>
    <xf numFmtId="0" fontId="81" fillId="8" borderId="25" xfId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80" fillId="0" borderId="0" xfId="1" applyFont="1" applyAlignment="1">
      <alignment horizontal="center"/>
    </xf>
    <xf numFmtId="3" fontId="63" fillId="0" borderId="0" xfId="0" applyNumberFormat="1" applyFont="1" applyAlignment="1">
      <alignment horizontal="center" vertical="center"/>
    </xf>
    <xf numFmtId="3" fontId="63" fillId="0" borderId="49" xfId="0" applyNumberFormat="1" applyFont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3" fontId="68" fillId="0" borderId="12" xfId="1" applyNumberFormat="1" applyFont="1" applyBorder="1" applyAlignment="1">
      <alignment horizontal="center" vertical="center"/>
    </xf>
    <xf numFmtId="3" fontId="68" fillId="0" borderId="13" xfId="1" applyNumberFormat="1" applyFont="1" applyBorder="1" applyAlignment="1">
      <alignment horizontal="center" vertical="center"/>
    </xf>
    <xf numFmtId="3" fontId="69" fillId="0" borderId="12" xfId="1" applyNumberFormat="1" applyFont="1" applyBorder="1" applyAlignment="1">
      <alignment horizontal="center" vertical="center"/>
    </xf>
    <xf numFmtId="3" fontId="69" fillId="0" borderId="13" xfId="1" applyNumberFormat="1" applyFont="1" applyBorder="1" applyAlignment="1">
      <alignment horizontal="center" vertical="center"/>
    </xf>
    <xf numFmtId="3" fontId="53" fillId="12" borderId="12" xfId="1" applyNumberFormat="1" applyFont="1" applyFill="1" applyBorder="1" applyAlignment="1">
      <alignment horizontal="center" vertical="center"/>
    </xf>
    <xf numFmtId="3" fontId="53" fillId="12" borderId="13" xfId="1" applyNumberFormat="1" applyFont="1" applyFill="1" applyBorder="1" applyAlignment="1">
      <alignment horizontal="center" vertical="center"/>
    </xf>
    <xf numFmtId="3" fontId="69" fillId="0" borderId="14" xfId="1" applyNumberFormat="1" applyFont="1" applyBorder="1" applyAlignment="1">
      <alignment horizontal="center" vertical="center"/>
    </xf>
    <xf numFmtId="0" fontId="75" fillId="0" borderId="12" xfId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0" fontId="36" fillId="0" borderId="12" xfId="1" applyFont="1" applyBorder="1" applyAlignment="1">
      <alignment horizontal="center" vertical="center"/>
    </xf>
    <xf numFmtId="0" fontId="36" fillId="0" borderId="13" xfId="1" applyFont="1" applyBorder="1" applyAlignment="1">
      <alignment horizontal="center" vertical="center"/>
    </xf>
    <xf numFmtId="0" fontId="74" fillId="2" borderId="12" xfId="1" applyFont="1" applyFill="1" applyBorder="1" applyAlignment="1">
      <alignment horizontal="center" vertical="center"/>
    </xf>
    <xf numFmtId="0" fontId="74" fillId="2" borderId="13" xfId="1" applyFont="1" applyFill="1" applyBorder="1" applyAlignment="1">
      <alignment horizontal="center" vertical="center"/>
    </xf>
    <xf numFmtId="0" fontId="70" fillId="0" borderId="0" xfId="0" applyFont="1" applyAlignment="1">
      <alignment horizontal="left" vertical="top"/>
    </xf>
    <xf numFmtId="0" fontId="70" fillId="0" borderId="16" xfId="0" applyFont="1" applyBorder="1" applyAlignment="1">
      <alignment horizontal="left" vertical="top"/>
    </xf>
    <xf numFmtId="0" fontId="23" fillId="10" borderId="18" xfId="1" applyFont="1" applyFill="1" applyBorder="1" applyAlignment="1">
      <alignment horizontal="center"/>
    </xf>
    <xf numFmtId="0" fontId="23" fillId="10" borderId="22" xfId="1" applyFont="1" applyFill="1" applyBorder="1" applyAlignment="1">
      <alignment horizontal="center"/>
    </xf>
    <xf numFmtId="0" fontId="23" fillId="10" borderId="17" xfId="1" applyFont="1" applyFill="1" applyBorder="1" applyAlignment="1">
      <alignment horizontal="center"/>
    </xf>
    <xf numFmtId="0" fontId="23" fillId="10" borderId="15" xfId="1" applyFont="1" applyFill="1" applyBorder="1" applyAlignment="1">
      <alignment horizontal="center"/>
    </xf>
    <xf numFmtId="0" fontId="23" fillId="10" borderId="16" xfId="1" applyFont="1" applyFill="1" applyBorder="1" applyAlignment="1">
      <alignment horizontal="center"/>
    </xf>
    <xf numFmtId="0" fontId="23" fillId="10" borderId="19" xfId="1" applyFont="1" applyFill="1" applyBorder="1" applyAlignment="1">
      <alignment horizontal="center"/>
    </xf>
    <xf numFmtId="0" fontId="60" fillId="10" borderId="18" xfId="1" applyFont="1" applyFill="1" applyBorder="1" applyAlignment="1">
      <alignment horizontal="center" vertical="center"/>
    </xf>
    <xf numFmtId="0" fontId="60" fillId="10" borderId="17" xfId="1" applyFont="1" applyFill="1" applyBorder="1" applyAlignment="1">
      <alignment horizontal="center" vertical="center"/>
    </xf>
    <xf numFmtId="0" fontId="60" fillId="10" borderId="21" xfId="1" applyFont="1" applyFill="1" applyBorder="1" applyAlignment="1">
      <alignment horizontal="center" vertical="center"/>
    </xf>
    <xf numFmtId="0" fontId="60" fillId="10" borderId="20" xfId="1" applyFont="1" applyFill="1" applyBorder="1" applyAlignment="1">
      <alignment horizontal="center" vertical="center"/>
    </xf>
    <xf numFmtId="0" fontId="60" fillId="10" borderId="15" xfId="1" applyFont="1" applyFill="1" applyBorder="1" applyAlignment="1">
      <alignment horizontal="center" vertical="center"/>
    </xf>
    <xf numFmtId="0" fontId="60" fillId="10" borderId="19" xfId="1" applyFont="1" applyFill="1" applyBorder="1" applyAlignment="1">
      <alignment horizontal="center" vertical="center"/>
    </xf>
    <xf numFmtId="0" fontId="64" fillId="9" borderId="24" xfId="1" applyFont="1" applyFill="1" applyBorder="1" applyAlignment="1">
      <alignment horizontal="center" vertical="center"/>
    </xf>
    <xf numFmtId="0" fontId="64" fillId="9" borderId="25" xfId="1" applyFont="1" applyFill="1" applyBorder="1" applyAlignment="1">
      <alignment horizontal="center" vertical="center"/>
    </xf>
    <xf numFmtId="0" fontId="64" fillId="7" borderId="24" xfId="1" applyFont="1" applyFill="1" applyBorder="1" applyAlignment="1">
      <alignment horizontal="center" vertical="center"/>
    </xf>
    <xf numFmtId="0" fontId="64" fillId="7" borderId="25" xfId="1" applyFont="1" applyFill="1" applyBorder="1" applyAlignment="1">
      <alignment horizontal="center" vertical="center"/>
    </xf>
    <xf numFmtId="0" fontId="64" fillId="6" borderId="24" xfId="1" applyFont="1" applyFill="1" applyBorder="1" applyAlignment="1">
      <alignment horizontal="center" vertical="center"/>
    </xf>
    <xf numFmtId="0" fontId="64" fillId="6" borderId="25" xfId="1" applyFont="1" applyFill="1" applyBorder="1" applyAlignment="1">
      <alignment horizontal="center" vertical="center"/>
    </xf>
    <xf numFmtId="0" fontId="64" fillId="5" borderId="24" xfId="1" applyFont="1" applyFill="1" applyBorder="1" applyAlignment="1">
      <alignment horizontal="center" vertical="center"/>
    </xf>
    <xf numFmtId="0" fontId="64" fillId="5" borderId="28" xfId="1" applyFont="1" applyFill="1" applyBorder="1" applyAlignment="1">
      <alignment horizontal="center" vertical="center"/>
    </xf>
    <xf numFmtId="0" fontId="64" fillId="5" borderId="25" xfId="1" applyFont="1" applyFill="1" applyBorder="1" applyAlignment="1">
      <alignment horizontal="center" vertical="center"/>
    </xf>
    <xf numFmtId="0" fontId="35" fillId="4" borderId="37" xfId="0" applyFont="1" applyFill="1" applyBorder="1" applyAlignment="1">
      <alignment horizontal="center" vertical="center"/>
    </xf>
    <xf numFmtId="0" fontId="35" fillId="4" borderId="39" xfId="0" applyFont="1" applyFill="1" applyBorder="1" applyAlignment="1">
      <alignment horizontal="center" vertical="center"/>
    </xf>
    <xf numFmtId="0" fontId="35" fillId="3" borderId="37" xfId="0" applyFont="1" applyFill="1" applyBorder="1" applyAlignment="1">
      <alignment horizontal="center" vertical="center"/>
    </xf>
    <xf numFmtId="0" fontId="35" fillId="3" borderId="39" xfId="0" applyFont="1" applyFill="1" applyBorder="1" applyAlignment="1">
      <alignment horizontal="center" vertical="center"/>
    </xf>
    <xf numFmtId="0" fontId="35" fillId="4" borderId="38" xfId="0" applyFont="1" applyFill="1" applyBorder="1" applyAlignment="1">
      <alignment horizontal="center" vertical="center"/>
    </xf>
    <xf numFmtId="0" fontId="35" fillId="4" borderId="27" xfId="0" applyFont="1" applyFill="1" applyBorder="1" applyAlignment="1">
      <alignment horizontal="center" vertical="center"/>
    </xf>
    <xf numFmtId="0" fontId="64" fillId="8" borderId="24" xfId="1" applyFont="1" applyFill="1" applyBorder="1" applyAlignment="1">
      <alignment horizontal="center" vertical="center"/>
    </xf>
    <xf numFmtId="0" fontId="64" fillId="8" borderId="28" xfId="1" applyFont="1" applyFill="1" applyBorder="1" applyAlignment="1">
      <alignment horizontal="center" vertical="center"/>
    </xf>
    <xf numFmtId="0" fontId="41" fillId="10" borderId="18" xfId="1" applyFont="1" applyFill="1" applyBorder="1" applyAlignment="1">
      <alignment horizontal="center" vertical="center" wrapText="1"/>
    </xf>
    <xf numFmtId="0" fontId="41" fillId="10" borderId="17" xfId="1" applyFont="1" applyFill="1" applyBorder="1" applyAlignment="1">
      <alignment horizontal="center" vertical="center" wrapText="1"/>
    </xf>
    <xf numFmtId="0" fontId="41" fillId="10" borderId="15" xfId="1" applyFont="1" applyFill="1" applyBorder="1" applyAlignment="1">
      <alignment horizontal="center" vertical="center" wrapText="1"/>
    </xf>
    <xf numFmtId="0" fontId="41" fillId="10" borderId="19" xfId="1" applyFont="1" applyFill="1" applyBorder="1" applyAlignment="1">
      <alignment horizontal="center" vertical="center" wrapText="1"/>
    </xf>
    <xf numFmtId="0" fontId="65" fillId="10" borderId="12" xfId="1" applyFont="1" applyFill="1" applyBorder="1" applyAlignment="1">
      <alignment horizontal="center" vertical="center" wrapText="1"/>
    </xf>
    <xf numFmtId="0" fontId="65" fillId="10" borderId="14" xfId="1" applyFont="1" applyFill="1" applyBorder="1" applyAlignment="1">
      <alignment horizontal="center" vertical="center" wrapText="1"/>
    </xf>
    <xf numFmtId="0" fontId="65" fillId="10" borderId="13" xfId="1" applyFont="1" applyFill="1" applyBorder="1" applyAlignment="1">
      <alignment horizontal="center" vertical="center" wrapText="1"/>
    </xf>
    <xf numFmtId="0" fontId="66" fillId="2" borderId="12" xfId="1" applyFont="1" applyFill="1" applyBorder="1" applyAlignment="1">
      <alignment horizontal="center" vertical="center" wrapText="1"/>
    </xf>
    <xf numFmtId="0" fontId="66" fillId="2" borderId="14" xfId="1" applyFont="1" applyFill="1" applyBorder="1" applyAlignment="1">
      <alignment horizontal="center" vertical="center" wrapText="1"/>
    </xf>
    <xf numFmtId="0" fontId="66" fillId="2" borderId="13" xfId="1" applyFont="1" applyFill="1" applyBorder="1" applyAlignment="1">
      <alignment horizontal="center" vertical="center" wrapText="1"/>
    </xf>
    <xf numFmtId="0" fontId="35" fillId="4" borderId="36" xfId="0" applyFont="1" applyFill="1" applyBorder="1" applyAlignment="1">
      <alignment horizontal="center" vertical="center"/>
    </xf>
    <xf numFmtId="0" fontId="35" fillId="4" borderId="26" xfId="0" applyFont="1" applyFill="1" applyBorder="1" applyAlignment="1">
      <alignment horizontal="center" vertical="center"/>
    </xf>
    <xf numFmtId="0" fontId="72" fillId="0" borderId="12" xfId="1" applyFont="1" applyBorder="1" applyAlignment="1">
      <alignment horizontal="center" vertical="center"/>
    </xf>
    <xf numFmtId="0" fontId="72" fillId="0" borderId="13" xfId="1" applyFont="1" applyBorder="1" applyAlignment="1">
      <alignment horizontal="center" vertical="center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0" fontId="72" fillId="2" borderId="12" xfId="1" applyFont="1" applyFill="1" applyBorder="1" applyAlignment="1">
      <alignment horizontal="center" vertical="center"/>
    </xf>
    <xf numFmtId="0" fontId="72" fillId="2" borderId="13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4" fillId="11" borderId="12" xfId="0" applyFont="1" applyFill="1" applyBorder="1" applyAlignment="1">
      <alignment horizontal="center" vertical="center"/>
    </xf>
    <xf numFmtId="0" fontId="44" fillId="11" borderId="14" xfId="0" applyFont="1" applyFill="1" applyBorder="1" applyAlignment="1">
      <alignment horizontal="center" vertical="center"/>
    </xf>
    <xf numFmtId="0" fontId="44" fillId="11" borderId="13" xfId="0" applyFont="1" applyFill="1" applyBorder="1" applyAlignment="1">
      <alignment horizontal="center" vertical="center"/>
    </xf>
    <xf numFmtId="0" fontId="56" fillId="4" borderId="24" xfId="4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4" xr:uid="{00000000-0005-0000-0000-000002000000}"/>
    <cellStyle name="Normal 2 3" xfId="3" xr:uid="{00000000-0005-0000-0000-000003000000}"/>
    <cellStyle name="Normal 3 3" xfId="5" xr:uid="{00000000-0005-0000-0000-000004000000}"/>
    <cellStyle name="Normal 4 2" xfId="2" xr:uid="{00000000-0005-0000-0000-000005000000}"/>
  </cellStyles>
  <dxfs count="0"/>
  <tableStyles count="0" defaultTableStyle="TableStyleMedium2" defaultPivotStyle="PivotStyleLight16"/>
  <colors>
    <mruColors>
      <color rgb="FFFFCCCC"/>
      <color rgb="FF0000FF"/>
      <color rgb="FFFEF7F4"/>
      <color rgb="FF003399"/>
      <color rgb="FF170C40"/>
      <color rgb="FFE9F2FB"/>
      <color rgb="FFFF9933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/Downloads/&#3629;&#3633;&#3614;&#3604;&#3607;&#3610;&#3634;&#3591;&#3610;&#3633;&#3623;&#3607;&#3629;&#3591;.xlsx" TargetMode="External"/><Relationship Id="rId1" Type="http://schemas.openxmlformats.org/officeDocument/2006/relationships/externalLinkPath" Target="/Users/user/Downloads/&#3629;&#3633;&#3614;&#3604;&#3607;&#3610;&#3634;&#3591;&#3610;&#3633;&#3623;&#3607;&#3629;&#359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บางบัวทอง-ผลิต"/>
      <sheetName val="บางบัวทอง-รถ"/>
      <sheetName val="คันที่ 1"/>
      <sheetName val="คันที่ 2"/>
    </sheetNames>
    <sheetDataSet>
      <sheetData sheetId="0" refreshError="1">
        <row r="12">
          <cell r="C12" t="str">
            <v>องุ่นดำไร้เมล็ด 150 กรัม x36P</v>
          </cell>
        </row>
        <row r="14">
          <cell r="C14" t="str">
            <v>องุ่นแดงนอกมีเมล็ด 200 กรัม x 32 P</v>
          </cell>
        </row>
      </sheetData>
      <sheetData sheetId="1" refreshError="1"/>
      <sheetData sheetId="2" refreshError="1"/>
      <sheetData sheetId="3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K175"/>
  <sheetViews>
    <sheetView tabSelected="1" topLeftCell="A19" zoomScale="20" zoomScaleNormal="20" zoomScaleSheetLayoutView="20" workbookViewId="0">
      <selection activeCell="F51" sqref="F51"/>
    </sheetView>
  </sheetViews>
  <sheetFormatPr defaultColWidth="5.6640625" defaultRowHeight="15" customHeight="1"/>
  <cols>
    <col min="1" max="1" width="5.6640625" style="3" customWidth="1"/>
    <col min="2" max="2" width="27.77734375" style="3" customWidth="1"/>
    <col min="3" max="3" width="148.33203125" style="3" customWidth="1"/>
    <col min="4" max="4" width="34.44140625" style="3" customWidth="1"/>
    <col min="5" max="5" width="50.6640625" style="3" customWidth="1"/>
    <col min="6" max="6" width="49.44140625" style="3" customWidth="1"/>
    <col min="7" max="7" width="47.44140625" style="3" customWidth="1"/>
    <col min="8" max="8" width="43.44140625" style="3" customWidth="1"/>
    <col min="9" max="10" width="29.33203125" style="3" customWidth="1"/>
    <col min="11" max="11" width="25.44140625" style="3" customWidth="1"/>
    <col min="12" max="14" width="29.33203125" style="3" customWidth="1"/>
    <col min="15" max="15" width="21.44140625" style="3" customWidth="1"/>
    <col min="16" max="16" width="19.44140625" style="3" customWidth="1"/>
    <col min="17" max="17" width="48.88671875" style="3" customWidth="1"/>
    <col min="18" max="18" width="43" style="31" customWidth="1"/>
    <col min="19" max="19" width="31.21875" style="3" customWidth="1"/>
    <col min="20" max="20" width="35" style="103" customWidth="1"/>
    <col min="21" max="21" width="8.44140625" style="52" customWidth="1"/>
    <col min="22" max="22" width="36.44140625" style="162" customWidth="1"/>
    <col min="23" max="23" width="24.88671875" style="162" customWidth="1"/>
    <col min="24" max="24" width="27.88671875" style="162" customWidth="1"/>
    <col min="25" max="25" width="17.44140625" style="162" customWidth="1"/>
    <col min="26" max="26" width="27.88671875" style="162" customWidth="1"/>
    <col min="27" max="36" width="5.6640625" style="3"/>
    <col min="37" max="37" width="13.77734375" style="3" bestFit="1" customWidth="1"/>
    <col min="38" max="16384" width="5.6640625" style="3"/>
  </cols>
  <sheetData>
    <row r="4" spans="2:37" ht="31.95" customHeight="1">
      <c r="B4" s="27"/>
      <c r="C4" s="26"/>
      <c r="D4" s="26"/>
      <c r="E4" s="26"/>
      <c r="F4" s="26"/>
      <c r="G4" s="26"/>
      <c r="H4" s="26"/>
      <c r="I4" s="28"/>
      <c r="J4" s="28"/>
      <c r="K4" s="38"/>
      <c r="L4" s="306"/>
      <c r="M4" s="306"/>
      <c r="N4" s="42"/>
      <c r="O4" s="42"/>
      <c r="P4" s="42"/>
      <c r="Q4" s="33"/>
    </row>
    <row r="5" spans="2:37" ht="15" customHeight="1">
      <c r="K5" s="38"/>
      <c r="L5" s="38"/>
      <c r="M5" s="38"/>
    </row>
    <row r="6" spans="2:37" ht="15" customHeight="1">
      <c r="E6" s="31"/>
      <c r="F6" s="31"/>
      <c r="G6" s="31"/>
      <c r="H6" s="31"/>
      <c r="I6" s="31"/>
      <c r="J6" s="31"/>
      <c r="K6" s="151"/>
      <c r="L6" s="151"/>
      <c r="M6" s="151"/>
      <c r="N6" s="31"/>
      <c r="O6" s="31"/>
    </row>
    <row r="7" spans="2:37" ht="15" customHeight="1">
      <c r="E7" s="31"/>
      <c r="F7" s="31"/>
      <c r="G7" s="31"/>
      <c r="H7" s="31"/>
      <c r="I7" s="31"/>
      <c r="J7" s="31"/>
      <c r="K7" s="151"/>
      <c r="L7" s="151"/>
      <c r="M7" s="151"/>
      <c r="N7" s="31"/>
      <c r="O7" s="31"/>
    </row>
    <row r="8" spans="2:37" ht="15" customHeight="1"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2:37" ht="15" customHeight="1">
      <c r="E9" s="307" t="s">
        <v>148</v>
      </c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</row>
    <row r="10" spans="2:37" ht="71.400000000000006" customHeight="1" thickBot="1">
      <c r="B10" s="250" t="s">
        <v>149</v>
      </c>
      <c r="C10" s="250"/>
      <c r="D10" s="250"/>
      <c r="E10" s="307"/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153"/>
      <c r="R10" s="153"/>
      <c r="U10" s="3"/>
      <c r="AA10" s="30"/>
    </row>
    <row r="11" spans="2:37" ht="3" hidden="1" customHeight="1" thickBot="1">
      <c r="B11" s="251"/>
      <c r="C11" s="251"/>
      <c r="D11" s="251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2"/>
      <c r="T11" s="104"/>
      <c r="U11" s="29"/>
      <c r="W11" s="252"/>
      <c r="X11" s="253"/>
      <c r="Y11" s="253"/>
      <c r="Z11" s="253"/>
      <c r="AA11" s="254"/>
    </row>
    <row r="12" spans="2:37" ht="58.8" customHeight="1" thickBot="1">
      <c r="B12" s="255" t="s">
        <v>90</v>
      </c>
      <c r="C12" s="256"/>
      <c r="D12" s="261" t="s">
        <v>39</v>
      </c>
      <c r="E12" s="264" t="s">
        <v>98</v>
      </c>
      <c r="F12" s="265"/>
      <c r="G12" s="266" t="s">
        <v>99</v>
      </c>
      <c r="H12" s="267"/>
      <c r="I12" s="268" t="s">
        <v>100</v>
      </c>
      <c r="J12" s="269"/>
      <c r="K12" s="270" t="s">
        <v>101</v>
      </c>
      <c r="L12" s="271"/>
      <c r="M12" s="272"/>
      <c r="N12" s="273" t="s">
        <v>102</v>
      </c>
      <c r="O12" s="274"/>
      <c r="P12" s="275"/>
      <c r="Q12" s="276" t="s">
        <v>68</v>
      </c>
      <c r="R12" s="277"/>
      <c r="S12" s="280" t="s">
        <v>78</v>
      </c>
      <c r="T12" s="283" t="s">
        <v>79</v>
      </c>
      <c r="U12" s="3"/>
      <c r="V12" s="286" t="s">
        <v>82</v>
      </c>
      <c r="W12" s="288" t="s">
        <v>83</v>
      </c>
      <c r="X12" s="290" t="s">
        <v>85</v>
      </c>
      <c r="Y12" s="288" t="s">
        <v>84</v>
      </c>
      <c r="Z12" s="292" t="s">
        <v>86</v>
      </c>
    </row>
    <row r="13" spans="2:37" ht="60.6" customHeight="1" thickBot="1">
      <c r="B13" s="257"/>
      <c r="C13" s="258"/>
      <c r="D13" s="262"/>
      <c r="E13" s="294" t="s">
        <v>93</v>
      </c>
      <c r="F13" s="295"/>
      <c r="G13" s="296" t="s">
        <v>94</v>
      </c>
      <c r="H13" s="297"/>
      <c r="I13" s="298" t="s">
        <v>95</v>
      </c>
      <c r="J13" s="299"/>
      <c r="K13" s="300" t="s">
        <v>96</v>
      </c>
      <c r="L13" s="301"/>
      <c r="M13" s="302"/>
      <c r="N13" s="303" t="s">
        <v>97</v>
      </c>
      <c r="O13" s="304"/>
      <c r="P13" s="305"/>
      <c r="Q13" s="278"/>
      <c r="R13" s="279"/>
      <c r="S13" s="281"/>
      <c r="T13" s="284"/>
      <c r="U13" s="3"/>
      <c r="V13" s="287"/>
      <c r="W13" s="289"/>
      <c r="X13" s="291"/>
      <c r="Y13" s="289"/>
      <c r="Z13" s="293"/>
    </row>
    <row r="14" spans="2:37" ht="75" customHeight="1" thickBot="1">
      <c r="B14" s="259"/>
      <c r="C14" s="260"/>
      <c r="D14" s="263"/>
      <c r="E14" s="197" t="s">
        <v>0</v>
      </c>
      <c r="F14" s="198" t="s">
        <v>69</v>
      </c>
      <c r="G14" s="199" t="s">
        <v>0</v>
      </c>
      <c r="H14" s="200" t="s">
        <v>69</v>
      </c>
      <c r="I14" s="201" t="s">
        <v>0</v>
      </c>
      <c r="J14" s="202" t="s">
        <v>69</v>
      </c>
      <c r="K14" s="203" t="s">
        <v>0</v>
      </c>
      <c r="L14" s="204" t="s">
        <v>69</v>
      </c>
      <c r="M14" s="203" t="s">
        <v>25</v>
      </c>
      <c r="N14" s="205" t="s">
        <v>0</v>
      </c>
      <c r="O14" s="205" t="s">
        <v>1</v>
      </c>
      <c r="P14" s="206" t="s">
        <v>25</v>
      </c>
      <c r="Q14" s="207" t="s">
        <v>80</v>
      </c>
      <c r="R14" s="208" t="s">
        <v>70</v>
      </c>
      <c r="S14" s="282"/>
      <c r="T14" s="285"/>
      <c r="U14" s="3"/>
      <c r="V14" s="163"/>
      <c r="W14" s="164"/>
      <c r="X14" s="165"/>
      <c r="Y14" s="164"/>
      <c r="Z14" s="166"/>
      <c r="AK14" s="44">
        <v>32</v>
      </c>
    </row>
    <row r="15" spans="2:37" ht="61.8" customHeight="1" thickBot="1">
      <c r="B15" s="248">
        <v>1</v>
      </c>
      <c r="C15" s="155" t="s">
        <v>103</v>
      </c>
      <c r="D15" s="245">
        <v>36</v>
      </c>
      <c r="E15" s="182"/>
      <c r="F15" s="183"/>
      <c r="G15" s="183"/>
      <c r="H15" s="183"/>
      <c r="I15" s="183"/>
      <c r="J15" s="183"/>
      <c r="K15" s="183"/>
      <c r="L15" s="183"/>
      <c r="M15" s="183"/>
      <c r="N15" s="183"/>
      <c r="O15" s="184"/>
      <c r="P15" s="184"/>
      <c r="Q15" s="237">
        <f>SUM(E15:P15)</f>
        <v>0</v>
      </c>
      <c r="R15" s="239">
        <f>'บางบัวทอง-รถ'!C10</f>
        <v>0</v>
      </c>
      <c r="S15" s="241"/>
      <c r="T15" s="243">
        <f>SUM(S15-Q15)</f>
        <v>0</v>
      </c>
      <c r="U15" s="3"/>
      <c r="V15" s="167">
        <f>SUM(E15,F15)</f>
        <v>0</v>
      </c>
      <c r="W15" s="168">
        <f>SUM(G15,H15)</f>
        <v>0</v>
      </c>
      <c r="X15" s="169">
        <f>SUM(I15,J15)</f>
        <v>0</v>
      </c>
      <c r="Y15" s="168">
        <f>SUM(K15,L15,M15,)</f>
        <v>0</v>
      </c>
      <c r="Z15" s="170">
        <f>SUM(N15,O15,P15)</f>
        <v>0</v>
      </c>
      <c r="AK15" s="45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61.8" customHeight="1" thickBot="1">
      <c r="B16" s="249"/>
      <c r="C16" s="159" t="s">
        <v>106</v>
      </c>
      <c r="D16" s="246"/>
      <c r="E16" s="185" t="str">
        <f t="shared" ref="E16:P16" si="1">IF(E15=0, "", IF(MOD(E15, $D$15) = 0, E15 / $D$15, IF(INT(E15 / $D$15) = 0, MOD(E15, $D$15) &amp; " P", INT(E15 / $D$15) &amp; " + " &amp; MOD(E15, $D$15) &amp; " P")))</f>
        <v/>
      </c>
      <c r="F16" s="185" t="str">
        <f t="shared" si="1"/>
        <v/>
      </c>
      <c r="G16" s="185" t="str">
        <f t="shared" si="1"/>
        <v/>
      </c>
      <c r="H16" s="185" t="str">
        <f t="shared" si="1"/>
        <v/>
      </c>
      <c r="I16" s="185" t="str">
        <f t="shared" si="1"/>
        <v/>
      </c>
      <c r="J16" s="185" t="str">
        <f t="shared" si="1"/>
        <v/>
      </c>
      <c r="K16" s="185" t="str">
        <f t="shared" si="1"/>
        <v/>
      </c>
      <c r="L16" s="185" t="str">
        <f t="shared" si="1"/>
        <v/>
      </c>
      <c r="M16" s="185" t="str">
        <f t="shared" si="1"/>
        <v/>
      </c>
      <c r="N16" s="185" t="str">
        <f t="shared" si="1"/>
        <v/>
      </c>
      <c r="O16" s="185" t="str">
        <f t="shared" si="1"/>
        <v/>
      </c>
      <c r="P16" s="185" t="str">
        <f t="shared" si="1"/>
        <v/>
      </c>
      <c r="Q16" s="238"/>
      <c r="R16" s="240"/>
      <c r="S16" s="242"/>
      <c r="T16" s="244"/>
      <c r="U16" s="3"/>
      <c r="V16" s="171"/>
      <c r="W16" s="172"/>
      <c r="X16" s="173"/>
      <c r="Y16" s="168"/>
      <c r="Z16" s="174"/>
      <c r="AK16" s="49">
        <v>129</v>
      </c>
    </row>
    <row r="17" spans="2:37" ht="61.8" customHeight="1" thickBot="1">
      <c r="B17" s="248">
        <v>2</v>
      </c>
      <c r="C17" s="156" t="s">
        <v>61</v>
      </c>
      <c r="D17" s="248">
        <v>32</v>
      </c>
      <c r="E17" s="182"/>
      <c r="F17" s="183"/>
      <c r="G17" s="183"/>
      <c r="H17" s="183"/>
      <c r="I17" s="186"/>
      <c r="J17" s="186"/>
      <c r="K17" s="186"/>
      <c r="L17" s="183"/>
      <c r="M17" s="183"/>
      <c r="N17" s="183"/>
      <c r="O17" s="184"/>
      <c r="P17" s="184"/>
      <c r="Q17" s="237">
        <f>SUM(E17:P17)</f>
        <v>0</v>
      </c>
      <c r="R17" s="239">
        <f>'บางบัวทอง-รถ'!C11</f>
        <v>0</v>
      </c>
      <c r="S17" s="241"/>
      <c r="T17" s="243">
        <f>SUM(S17-Q17)</f>
        <v>0</v>
      </c>
      <c r="U17" s="3"/>
      <c r="V17" s="167">
        <f>SUM(E17,F17)</f>
        <v>0</v>
      </c>
      <c r="W17" s="172">
        <f>SUM(G17,H17)</f>
        <v>0</v>
      </c>
      <c r="X17" s="173">
        <f>SUM(I17,J17)</f>
        <v>0</v>
      </c>
      <c r="Y17" s="168">
        <f>SUM(K17,L17,M17,)</f>
        <v>0</v>
      </c>
      <c r="Z17" s="170">
        <f>SUM(N17,O17,P17)</f>
        <v>0</v>
      </c>
      <c r="AK17" s="50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61.8" customHeight="1" thickBot="1">
      <c r="B18" s="249"/>
      <c r="C18" s="160" t="s">
        <v>110</v>
      </c>
      <c r="D18" s="249"/>
      <c r="E18" s="185" t="str">
        <f>IF(E17=0, "", IF(MOD(E17, $D$17) = 0, E17 / $D$17, IF(INT(E17 / $D$17) = 0, MOD(E17, $D$17) &amp; " P", INT(E17 / $D$17) &amp; " + " &amp; MOD(E17, $D$17) &amp; " P")))</f>
        <v/>
      </c>
      <c r="F18" s="185" t="str">
        <f t="shared" ref="F18:P18" si="3">IF(F17=0, "", IF(MOD(F17, $D$17) = 0, F17 / $D$17, IF(INT(F17 / $D$17) = 0, MOD(F17, $D$17) &amp; " P", INT(F17 / $D$17) &amp; " + " &amp; MOD(F17, $D$17) &amp; " P")))</f>
        <v/>
      </c>
      <c r="G18" s="185" t="str">
        <f t="shared" si="3"/>
        <v/>
      </c>
      <c r="H18" s="185" t="str">
        <f t="shared" si="3"/>
        <v/>
      </c>
      <c r="I18" s="185" t="str">
        <f t="shared" si="3"/>
        <v/>
      </c>
      <c r="J18" s="185" t="str">
        <f t="shared" si="3"/>
        <v/>
      </c>
      <c r="K18" s="185" t="str">
        <f t="shared" si="3"/>
        <v/>
      </c>
      <c r="L18" s="185" t="str">
        <f t="shared" si="3"/>
        <v/>
      </c>
      <c r="M18" s="185" t="str">
        <f t="shared" si="3"/>
        <v/>
      </c>
      <c r="N18" s="185" t="str">
        <f t="shared" si="3"/>
        <v/>
      </c>
      <c r="O18" s="185" t="str">
        <f t="shared" si="3"/>
        <v/>
      </c>
      <c r="P18" s="185" t="str">
        <f t="shared" si="3"/>
        <v/>
      </c>
      <c r="Q18" s="238"/>
      <c r="R18" s="240"/>
      <c r="S18" s="242"/>
      <c r="T18" s="244"/>
      <c r="U18" s="3"/>
      <c r="V18" s="171"/>
      <c r="W18" s="172"/>
      <c r="X18" s="173"/>
      <c r="Y18" s="168"/>
      <c r="Z18" s="174"/>
      <c r="AK18" s="51">
        <v>54</v>
      </c>
    </row>
    <row r="19" spans="2:37" ht="61.8" customHeight="1" thickBot="1">
      <c r="B19" s="248">
        <v>3</v>
      </c>
      <c r="C19" s="156" t="s">
        <v>141</v>
      </c>
      <c r="D19" s="248">
        <v>14</v>
      </c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237">
        <f>SUM(E19:P19)</f>
        <v>0</v>
      </c>
      <c r="R19" s="239">
        <f>'บางบัวทอง-รถ'!C12</f>
        <v>0</v>
      </c>
      <c r="S19" s="241"/>
      <c r="T19" s="243">
        <f>SUM(S19-Q19)</f>
        <v>0</v>
      </c>
      <c r="U19" s="3"/>
      <c r="V19" s="171">
        <f>SUM(E19,F19)</f>
        <v>0</v>
      </c>
      <c r="W19" s="172">
        <f>SUM(G19,H19)</f>
        <v>0</v>
      </c>
      <c r="X19" s="173">
        <f>SUM(I19,J19)</f>
        <v>0</v>
      </c>
      <c r="Y19" s="168">
        <f>SUM(K19,L19,M19,)</f>
        <v>0</v>
      </c>
      <c r="Z19" s="170">
        <f>SUM(N19,O19,P19)</f>
        <v>0</v>
      </c>
      <c r="AK19" s="50" t="e">
        <f>IF(#REF!=0, "", IF(MOD(#REF!, $D$19) = 0,#REF!/ $D$19, IF(INT(#REF! / $D$19) = 0, MOD(#REF!, $D$19) &amp; " P", INT(#REF! / $D$19) &amp; " + " &amp; MOD(#REF!, $D$19) &amp; " P")))</f>
        <v>#REF!</v>
      </c>
    </row>
    <row r="20" spans="2:37" ht="61.8" customHeight="1" thickBot="1">
      <c r="B20" s="249"/>
      <c r="C20" s="160" t="s">
        <v>143</v>
      </c>
      <c r="D20" s="249"/>
      <c r="E20" s="185" t="str">
        <f t="shared" ref="E20:P20" si="4">IF(E19=0, "", IF(MOD(E19, $D$19) = 0, E19/ $D$19, IF(INT(E19 / $D$19) = 0, MOD(E19, $D$19) &amp; " P", INT(E19 / $D$19) &amp; " + " &amp; MOD(E19, $D$19) &amp; " P")))</f>
        <v/>
      </c>
      <c r="F20" s="185" t="str">
        <f t="shared" si="4"/>
        <v/>
      </c>
      <c r="G20" s="185" t="str">
        <f t="shared" si="4"/>
        <v/>
      </c>
      <c r="H20" s="185" t="str">
        <f t="shared" si="4"/>
        <v/>
      </c>
      <c r="I20" s="185" t="str">
        <f t="shared" si="4"/>
        <v/>
      </c>
      <c r="J20" s="185" t="str">
        <f t="shared" si="4"/>
        <v/>
      </c>
      <c r="K20" s="185" t="str">
        <f t="shared" si="4"/>
        <v/>
      </c>
      <c r="L20" s="185" t="str">
        <f t="shared" si="4"/>
        <v/>
      </c>
      <c r="M20" s="185" t="str">
        <f t="shared" si="4"/>
        <v/>
      </c>
      <c r="N20" s="185" t="str">
        <f t="shared" si="4"/>
        <v/>
      </c>
      <c r="O20" s="185" t="str">
        <f t="shared" si="4"/>
        <v/>
      </c>
      <c r="P20" s="185" t="str">
        <f t="shared" si="4"/>
        <v/>
      </c>
      <c r="Q20" s="238"/>
      <c r="R20" s="240"/>
      <c r="S20" s="242"/>
      <c r="T20" s="244"/>
      <c r="U20" s="3"/>
      <c r="V20" s="171"/>
      <c r="W20" s="172"/>
      <c r="X20" s="173"/>
      <c r="Y20" s="168"/>
      <c r="Z20" s="174"/>
      <c r="AK20" s="47">
        <v>227</v>
      </c>
    </row>
    <row r="21" spans="2:37" ht="61.8" customHeight="1" thickBot="1">
      <c r="B21" s="192">
        <v>4</v>
      </c>
      <c r="C21" s="156" t="s">
        <v>140</v>
      </c>
      <c r="D21" s="248">
        <v>14</v>
      </c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237">
        <f>SUM(E21:P21)</f>
        <v>0</v>
      </c>
      <c r="R21" s="239">
        <f>'บางบัวทอง-รถ'!C13</f>
        <v>0</v>
      </c>
      <c r="S21" s="241"/>
      <c r="T21" s="243">
        <f>SUM(S21-Q21)</f>
        <v>0</v>
      </c>
      <c r="U21" s="3"/>
      <c r="V21" s="171">
        <f>SUM(E21,F21)</f>
        <v>0</v>
      </c>
      <c r="W21" s="172">
        <f>SUM(G21,H21)</f>
        <v>0</v>
      </c>
      <c r="X21" s="173">
        <f>SUM(I21,J21)</f>
        <v>0</v>
      </c>
      <c r="Y21" s="168">
        <f>SUM(K21,L21,M21,)</f>
        <v>0</v>
      </c>
      <c r="Z21" s="170">
        <f>SUM(N21,O21,P21)</f>
        <v>0</v>
      </c>
      <c r="AK21" s="48" t="str">
        <f t="shared" ref="AK21" si="5">IF(AK20=0, "", IF(MOD(AK20, $D$21) = 0, AK20/ $D$21, IF(INT(AK20 / $D$21) = 0, MOD(AK20, $D$21) &amp; " P", INT(AK20 / $D$21) &amp; " + " &amp; MOD(AK20, $D$21) &amp; " P")))</f>
        <v>16 + 3 P</v>
      </c>
    </row>
    <row r="22" spans="2:37" ht="61.8" customHeight="1" thickBot="1">
      <c r="B22" s="193"/>
      <c r="C22" s="160" t="s">
        <v>142</v>
      </c>
      <c r="D22" s="249"/>
      <c r="E22" s="185" t="str">
        <f>IF(E21=0, "", IF(MOD(E21, $D$21) = 0, E21/ $D$21, IF(INT(E21 / $D$21) = 0, MOD(E21, $D$21) &amp; " P", INT(E21 / $D$21) &amp; " + " &amp; MOD(E21, $D$21) &amp; " P")))</f>
        <v/>
      </c>
      <c r="F22" s="185" t="str">
        <f t="shared" ref="F22:P22" si="6">IF(F21=0, "", IF(MOD(F21, $D$21) = 0, F21/ $D$21, IF(INT(F21 / $D$21) = 0, MOD(F21, $D$21) &amp; " P", INT(F21 / $D$21) &amp; " + " &amp; MOD(F21, $D$21) &amp; " P")))</f>
        <v/>
      </c>
      <c r="G22" s="185" t="str">
        <f t="shared" si="6"/>
        <v/>
      </c>
      <c r="H22" s="185" t="str">
        <f t="shared" si="6"/>
        <v/>
      </c>
      <c r="I22" s="185" t="str">
        <f t="shared" si="6"/>
        <v/>
      </c>
      <c r="J22" s="185" t="str">
        <f t="shared" si="6"/>
        <v/>
      </c>
      <c r="K22" s="185" t="str">
        <f t="shared" si="6"/>
        <v/>
      </c>
      <c r="L22" s="185" t="str">
        <f t="shared" si="6"/>
        <v/>
      </c>
      <c r="M22" s="185" t="str">
        <f t="shared" si="6"/>
        <v/>
      </c>
      <c r="N22" s="185" t="str">
        <f t="shared" si="6"/>
        <v/>
      </c>
      <c r="O22" s="185" t="str">
        <f t="shared" si="6"/>
        <v/>
      </c>
      <c r="P22" s="185" t="str">
        <f t="shared" si="6"/>
        <v/>
      </c>
      <c r="Q22" s="238"/>
      <c r="R22" s="240"/>
      <c r="S22" s="242"/>
      <c r="T22" s="244"/>
      <c r="U22" s="3"/>
      <c r="V22" s="171"/>
      <c r="W22" s="172"/>
      <c r="X22" s="173"/>
      <c r="Y22" s="168"/>
      <c r="Z22" s="174"/>
      <c r="AK22" s="49">
        <v>25</v>
      </c>
    </row>
    <row r="23" spans="2:37" ht="61.8" customHeight="1" thickBot="1">
      <c r="B23" s="192">
        <v>5</v>
      </c>
      <c r="C23" s="156" t="s">
        <v>62</v>
      </c>
      <c r="D23" s="248">
        <v>32</v>
      </c>
      <c r="E23" s="182"/>
      <c r="F23" s="183"/>
      <c r="G23" s="183"/>
      <c r="H23" s="183"/>
      <c r="I23" s="183"/>
      <c r="J23" s="183"/>
      <c r="K23" s="183"/>
      <c r="L23" s="183"/>
      <c r="M23" s="183"/>
      <c r="N23" s="183"/>
      <c r="O23" s="184"/>
      <c r="P23" s="184"/>
      <c r="Q23" s="237">
        <f>SUM(E23:P23)</f>
        <v>0</v>
      </c>
      <c r="R23" s="239">
        <f>'บางบัวทอง-รถ'!C14</f>
        <v>0</v>
      </c>
      <c r="S23" s="241"/>
      <c r="T23" s="243">
        <f>SUM(S23-Q23)</f>
        <v>0</v>
      </c>
      <c r="U23" s="3"/>
      <c r="V23" s="171">
        <f>SUM(E23,F23)</f>
        <v>0</v>
      </c>
      <c r="W23" s="172">
        <f>SUM(G23,H23)</f>
        <v>0</v>
      </c>
      <c r="X23" s="173">
        <f>SUM(I23,J23)</f>
        <v>0</v>
      </c>
      <c r="Y23" s="168">
        <f>SUM(K23,L23,M23,)</f>
        <v>0</v>
      </c>
      <c r="Z23" s="170">
        <f>SUM(N23,O23,P23)</f>
        <v>0</v>
      </c>
      <c r="AK23" s="50" t="str">
        <f t="shared" ref="AK23" si="7">IF(AK22=0, "", IF(MOD(AK22, $D$23) = 0, AK22/ $D$23, IF(INT(AK22 / $D$23) = 0, MOD(AK22, $D$23) &amp; " P", INT(AK22 / $D$23) &amp; " + " &amp; MOD(AK22, $D$23) &amp; " P")))</f>
        <v>25 P</v>
      </c>
    </row>
    <row r="24" spans="2:37" ht="61.8" customHeight="1" thickBot="1">
      <c r="B24" s="193"/>
      <c r="C24" s="160" t="s">
        <v>111</v>
      </c>
      <c r="D24" s="249"/>
      <c r="E24" s="185" t="str">
        <f t="shared" ref="E24:P24" si="8">IF(E23=0, "", IF(MOD(E23, $D$23) = 0, E23/ $D$23, IF(INT(E23 / $D$23) = 0, MOD(E23, $D$23) &amp; " P", INT(E23 / $D$23) &amp; " + " &amp; MOD(E23, $D$23) &amp; " P")))</f>
        <v/>
      </c>
      <c r="F24" s="185" t="str">
        <f t="shared" si="8"/>
        <v/>
      </c>
      <c r="G24" s="185" t="str">
        <f t="shared" si="8"/>
        <v/>
      </c>
      <c r="H24" s="185" t="str">
        <f t="shared" si="8"/>
        <v/>
      </c>
      <c r="I24" s="185" t="str">
        <f t="shared" si="8"/>
        <v/>
      </c>
      <c r="J24" s="185" t="str">
        <f t="shared" si="8"/>
        <v/>
      </c>
      <c r="K24" s="185" t="str">
        <f t="shared" si="8"/>
        <v/>
      </c>
      <c r="L24" s="185" t="str">
        <f t="shared" si="8"/>
        <v/>
      </c>
      <c r="M24" s="185" t="str">
        <f t="shared" si="8"/>
        <v/>
      </c>
      <c r="N24" s="185" t="str">
        <f t="shared" si="8"/>
        <v/>
      </c>
      <c r="O24" s="185" t="str">
        <f t="shared" si="8"/>
        <v/>
      </c>
      <c r="P24" s="185" t="str">
        <f t="shared" si="8"/>
        <v/>
      </c>
      <c r="Q24" s="238"/>
      <c r="R24" s="240"/>
      <c r="S24" s="242"/>
      <c r="T24" s="244"/>
      <c r="U24" s="3"/>
      <c r="V24" s="171"/>
      <c r="W24" s="172"/>
      <c r="X24" s="173"/>
      <c r="Y24" s="168"/>
      <c r="Z24" s="174"/>
      <c r="AK24" s="49">
        <v>2</v>
      </c>
    </row>
    <row r="25" spans="2:37" ht="61.8" customHeight="1" thickBot="1">
      <c r="B25" s="192">
        <v>6</v>
      </c>
      <c r="C25" s="157" t="s">
        <v>137</v>
      </c>
      <c r="D25" s="248">
        <v>27</v>
      </c>
      <c r="E25" s="182"/>
      <c r="F25" s="183"/>
      <c r="G25" s="183"/>
      <c r="H25" s="183"/>
      <c r="I25" s="183"/>
      <c r="J25" s="183"/>
      <c r="K25" s="183"/>
      <c r="L25" s="183"/>
      <c r="M25" s="183"/>
      <c r="N25" s="183"/>
      <c r="O25" s="184"/>
      <c r="P25" s="184"/>
      <c r="Q25" s="237">
        <f>SUM(E25:P25)</f>
        <v>0</v>
      </c>
      <c r="R25" s="239">
        <f>'บางบัวทอง-รถ'!C15</f>
        <v>0</v>
      </c>
      <c r="S25" s="241"/>
      <c r="T25" s="243">
        <f>SUM(S25-Q25)</f>
        <v>0</v>
      </c>
      <c r="U25" s="3"/>
      <c r="V25" s="167">
        <f>SUM(E25,F25)</f>
        <v>0</v>
      </c>
      <c r="W25" s="172">
        <f>SUM(G25,H25)</f>
        <v>0</v>
      </c>
      <c r="X25" s="173">
        <f>SUM(I25,J25)</f>
        <v>0</v>
      </c>
      <c r="Y25" s="168">
        <f>SUM(K25,L25,M25,)</f>
        <v>0</v>
      </c>
      <c r="Z25" s="170">
        <f>SUM(N25,O25,P25)</f>
        <v>0</v>
      </c>
      <c r="AK25" s="50" t="str">
        <f t="shared" ref="AK25" si="9">IF(AK24=0, "", IF(MOD(AK24, $D$25) = 0, AK24/ $D$25, IF(INT(AK24 / $D$25) = 0, MOD(AK24, $D$25) &amp; " P", INT(AK24 / $D$25) &amp; " + " &amp; MOD(AK24, $D$25) &amp; " P")))</f>
        <v>2 P</v>
      </c>
    </row>
    <row r="26" spans="2:37" ht="61.8" customHeight="1" thickBot="1">
      <c r="B26" s="193"/>
      <c r="C26" s="160" t="s">
        <v>138</v>
      </c>
      <c r="D26" s="249"/>
      <c r="E26" s="185" t="str">
        <f t="shared" ref="E26:P26" si="10">IF(E25=0, "", IF(MOD(E25, $D$25) = 0, E25/ $D$25, IF(INT(E25 / $D$25) = 0, MOD(E25, $D$25) &amp; " P", INT(E25 / $D$25) &amp; " + " &amp; MOD(E25, $D$25) &amp; " P")))</f>
        <v/>
      </c>
      <c r="F26" s="185" t="str">
        <f t="shared" si="10"/>
        <v/>
      </c>
      <c r="G26" s="185" t="str">
        <f t="shared" si="10"/>
        <v/>
      </c>
      <c r="H26" s="185" t="str">
        <f t="shared" si="10"/>
        <v/>
      </c>
      <c r="I26" s="185" t="str">
        <f t="shared" si="10"/>
        <v/>
      </c>
      <c r="J26" s="185" t="str">
        <f t="shared" si="10"/>
        <v/>
      </c>
      <c r="K26" s="185" t="str">
        <f t="shared" si="10"/>
        <v/>
      </c>
      <c r="L26" s="185" t="str">
        <f t="shared" si="10"/>
        <v/>
      </c>
      <c r="M26" s="185" t="str">
        <f t="shared" si="10"/>
        <v/>
      </c>
      <c r="N26" s="185" t="str">
        <f t="shared" si="10"/>
        <v/>
      </c>
      <c r="O26" s="185" t="str">
        <f t="shared" si="10"/>
        <v/>
      </c>
      <c r="P26" s="185" t="str">
        <f t="shared" si="10"/>
        <v/>
      </c>
      <c r="Q26" s="238"/>
      <c r="R26" s="240"/>
      <c r="S26" s="242"/>
      <c r="T26" s="244"/>
      <c r="U26" s="3"/>
      <c r="V26" s="167"/>
      <c r="W26" s="172"/>
      <c r="X26" s="173"/>
      <c r="Y26" s="168"/>
      <c r="Z26" s="174"/>
      <c r="AK26" s="51">
        <v>74</v>
      </c>
    </row>
    <row r="27" spans="2:37" ht="61.8" customHeight="1" thickBot="1">
      <c r="B27" s="192">
        <v>7</v>
      </c>
      <c r="C27" s="158" t="s">
        <v>63</v>
      </c>
      <c r="D27" s="235">
        <v>36</v>
      </c>
      <c r="E27" s="187"/>
      <c r="F27" s="188"/>
      <c r="G27" s="188"/>
      <c r="H27" s="188"/>
      <c r="I27" s="188"/>
      <c r="J27" s="188"/>
      <c r="K27" s="188"/>
      <c r="L27" s="188"/>
      <c r="M27" s="188"/>
      <c r="N27" s="188"/>
      <c r="O27" s="190"/>
      <c r="P27" s="190"/>
      <c r="Q27" s="237">
        <f>SUM(E27:P27)</f>
        <v>0</v>
      </c>
      <c r="R27" s="239">
        <f>'บางบัวทอง-รถ'!C16</f>
        <v>0</v>
      </c>
      <c r="S27" s="241"/>
      <c r="T27" s="243">
        <f>SUM(S27-Q27)</f>
        <v>0</v>
      </c>
      <c r="U27" s="3"/>
      <c r="V27" s="167">
        <f>SUM(E27,F27)</f>
        <v>0</v>
      </c>
      <c r="W27" s="168">
        <f>SUM(G27,H27)</f>
        <v>0</v>
      </c>
      <c r="X27" s="169">
        <f>SUM(I27,J27)</f>
        <v>0</v>
      </c>
      <c r="Y27" s="168">
        <f>SUM(K27,L27,M27,)</f>
        <v>0</v>
      </c>
      <c r="Z27" s="170">
        <f>SUM(N27,O27,P27)</f>
        <v>0</v>
      </c>
      <c r="AK27" s="45" t="str">
        <f>IF(AK26=0, "", IF(MOD(AK26, $D$27) = 0, AK26/ $D$27, IF(INT(AK26 / $D$27) = 0, MOD(AK26, $D$27) &amp; " P", INT(AK26 / $D$27) &amp; " + " &amp; MOD(AK26, $D$27) &amp; " P")))</f>
        <v>2 + 2 P</v>
      </c>
    </row>
    <row r="28" spans="2:37" ht="61.8" customHeight="1" thickBot="1">
      <c r="B28" s="193"/>
      <c r="C28" s="160" t="s">
        <v>113</v>
      </c>
      <c r="D28" s="236"/>
      <c r="E28" s="185" t="str">
        <f t="shared" ref="E28:P28" si="11">IF(E27=0, "", IF(MOD(E27, $D$27) = 0, E27/ $D$27, IF(INT(E27 / $D$27) = 0, MOD(E27, $D$27) &amp; " P", INT(E27 / $D$27) &amp; " + " &amp; MOD(E27, $D$27) &amp; " P")))</f>
        <v/>
      </c>
      <c r="F28" s="185" t="str">
        <f t="shared" si="11"/>
        <v/>
      </c>
      <c r="G28" s="185" t="str">
        <f t="shared" si="11"/>
        <v/>
      </c>
      <c r="H28" s="185" t="str">
        <f t="shared" si="11"/>
        <v/>
      </c>
      <c r="I28" s="185" t="str">
        <f t="shared" si="11"/>
        <v/>
      </c>
      <c r="J28" s="185" t="str">
        <f t="shared" si="11"/>
        <v/>
      </c>
      <c r="K28" s="185" t="str">
        <f t="shared" si="11"/>
        <v/>
      </c>
      <c r="L28" s="185" t="str">
        <f t="shared" si="11"/>
        <v/>
      </c>
      <c r="M28" s="185" t="str">
        <f t="shared" si="11"/>
        <v/>
      </c>
      <c r="N28" s="185" t="str">
        <f t="shared" si="11"/>
        <v/>
      </c>
      <c r="O28" s="185" t="str">
        <f t="shared" si="11"/>
        <v/>
      </c>
      <c r="P28" s="185" t="str">
        <f t="shared" si="11"/>
        <v/>
      </c>
      <c r="Q28" s="238"/>
      <c r="R28" s="240"/>
      <c r="S28" s="242"/>
      <c r="T28" s="244"/>
      <c r="U28" s="3"/>
      <c r="V28" s="167"/>
      <c r="W28" s="172"/>
      <c r="X28" s="173"/>
      <c r="Y28" s="168"/>
      <c r="Z28" s="174"/>
      <c r="AK28" s="46">
        <v>34</v>
      </c>
    </row>
    <row r="29" spans="2:37" ht="61.8" customHeight="1" thickBot="1">
      <c r="B29" s="192">
        <v>8</v>
      </c>
      <c r="C29" s="156" t="s">
        <v>104</v>
      </c>
      <c r="D29" s="235">
        <v>20</v>
      </c>
      <c r="E29" s="187"/>
      <c r="F29" s="189"/>
      <c r="G29" s="188"/>
      <c r="H29" s="188"/>
      <c r="I29" s="188"/>
      <c r="J29" s="188"/>
      <c r="K29" s="188"/>
      <c r="L29" s="188"/>
      <c r="M29" s="188"/>
      <c r="N29" s="188"/>
      <c r="O29" s="190"/>
      <c r="P29" s="190"/>
      <c r="Q29" s="237">
        <f>SUM(E29:P29)</f>
        <v>0</v>
      </c>
      <c r="R29" s="247">
        <f>'บางบัวทอง-รถ'!C17</f>
        <v>0</v>
      </c>
      <c r="S29" s="241"/>
      <c r="T29" s="243">
        <f>SUM(S29-Q29)</f>
        <v>0</v>
      </c>
      <c r="U29" s="3"/>
      <c r="V29" s="167">
        <f>SUM(E29,F29)</f>
        <v>0</v>
      </c>
      <c r="W29" s="168">
        <f>SUM(G29,H29)</f>
        <v>0</v>
      </c>
      <c r="X29" s="169">
        <f>SUM(I29,J29)</f>
        <v>0</v>
      </c>
      <c r="Y29" s="168">
        <f>SUM(K29,L29,M29,)</f>
        <v>0</v>
      </c>
      <c r="Z29" s="170">
        <f>SUM(N29,O29,P29)</f>
        <v>0</v>
      </c>
      <c r="AK29" s="45" t="str">
        <f t="shared" ref="AK29:AK31" si="12">IF(AK28=0, "", IF(MOD(AK28, $D$29) = 0, AK28/ $D$29, IF(INT(AK28 / $D$29) = 0, MOD(AK28, $D$29) &amp; " P", INT(AK28 / $D$29) &amp; " + " &amp; MOD(AK28, $D$29) &amp; " P")))</f>
        <v>1 + 14 P</v>
      </c>
    </row>
    <row r="30" spans="2:37" ht="61.8" customHeight="1" thickBot="1">
      <c r="B30" s="193"/>
      <c r="C30" s="161" t="s">
        <v>107</v>
      </c>
      <c r="D30" s="236"/>
      <c r="E30" s="185" t="str">
        <f>IF(E29=0, "", IF(MOD(E29, $D$29) = 0, E29/ $D$29, IF(INT(E29 / $D$29) = 0, MOD(E29, $D$29) &amp; " P", INT(E29 / $D$29) &amp; " + " &amp; MOD(E29, $D$29) &amp; " P")))</f>
        <v/>
      </c>
      <c r="F30" s="185" t="str">
        <f t="shared" ref="F30:P30" si="13">IF(F29=0, "", IF(MOD(F29, $D$29) = 0, F29/ $D$29, IF(INT(F29 / $D$29) = 0, MOD(F29, $D$29) &amp; " P", INT(F29 / $D$29) &amp; " + " &amp; MOD(F29, $D$29) &amp; " P")))</f>
        <v/>
      </c>
      <c r="G30" s="185" t="str">
        <f t="shared" si="13"/>
        <v/>
      </c>
      <c r="H30" s="185" t="str">
        <f t="shared" si="13"/>
        <v/>
      </c>
      <c r="I30" s="185" t="str">
        <f t="shared" si="13"/>
        <v/>
      </c>
      <c r="J30" s="185" t="str">
        <f t="shared" si="13"/>
        <v/>
      </c>
      <c r="K30" s="185" t="str">
        <f t="shared" si="13"/>
        <v/>
      </c>
      <c r="L30" s="185" t="str">
        <f t="shared" si="13"/>
        <v/>
      </c>
      <c r="M30" s="185" t="str">
        <f t="shared" si="13"/>
        <v/>
      </c>
      <c r="N30" s="185" t="str">
        <f t="shared" si="13"/>
        <v/>
      </c>
      <c r="O30" s="185" t="str">
        <f t="shared" si="13"/>
        <v/>
      </c>
      <c r="P30" s="185" t="str">
        <f t="shared" si="13"/>
        <v/>
      </c>
      <c r="Q30" s="238"/>
      <c r="R30" s="240"/>
      <c r="S30" s="242"/>
      <c r="T30" s="244"/>
      <c r="U30" s="3"/>
      <c r="V30" s="167"/>
      <c r="W30" s="172"/>
      <c r="X30" s="173"/>
      <c r="Y30" s="168"/>
      <c r="Z30" s="174"/>
      <c r="AK30" s="46">
        <v>33</v>
      </c>
    </row>
    <row r="31" spans="2:37" ht="61.8" customHeight="1" thickBot="1">
      <c r="B31" s="192">
        <v>9</v>
      </c>
      <c r="C31" s="158" t="s">
        <v>128</v>
      </c>
      <c r="D31" s="235">
        <v>15</v>
      </c>
      <c r="E31" s="187"/>
      <c r="F31" s="188"/>
      <c r="G31" s="188"/>
      <c r="H31" s="188"/>
      <c r="I31" s="188"/>
      <c r="J31" s="188"/>
      <c r="K31" s="188"/>
      <c r="L31" s="188"/>
      <c r="M31" s="188"/>
      <c r="N31" s="188"/>
      <c r="O31" s="190"/>
      <c r="P31" s="190"/>
      <c r="Q31" s="237">
        <f>SUM(E31:P31)</f>
        <v>0</v>
      </c>
      <c r="R31" s="247">
        <f>'บางบัวทอง-รถ'!C18</f>
        <v>0</v>
      </c>
      <c r="S31" s="241"/>
      <c r="T31" s="243">
        <f>SUM(S31-Q31)</f>
        <v>0</v>
      </c>
      <c r="U31" s="3"/>
      <c r="V31" s="167">
        <f>SUM(E31,F31)</f>
        <v>0</v>
      </c>
      <c r="W31" s="168">
        <f>SUM(G31,H31)</f>
        <v>0</v>
      </c>
      <c r="X31" s="169">
        <f>SUM(I31,J31)</f>
        <v>0</v>
      </c>
      <c r="Y31" s="168">
        <f>SUM(K31,L31,M31,)</f>
        <v>0</v>
      </c>
      <c r="Z31" s="170">
        <f>SUM(N31,O31,P31)</f>
        <v>0</v>
      </c>
      <c r="AK31" s="45" t="str">
        <f t="shared" si="12"/>
        <v>1 + 13 P</v>
      </c>
    </row>
    <row r="32" spans="2:37" ht="61.8" customHeight="1" thickBot="1">
      <c r="B32" s="193"/>
      <c r="C32" s="160" t="s">
        <v>129</v>
      </c>
      <c r="D32" s="236"/>
      <c r="E32" s="185" t="str">
        <f>IF(E31=0, "", IF(MOD(E31, $D$31) = 0, E31/ $D$31, IF(INT(E31 / $D$31) = 0, MOD(E31, $D$31) &amp; " P", INT(E31 / $D$31) &amp; " + " &amp; MOD(E31, $D$31) &amp; " P")))</f>
        <v/>
      </c>
      <c r="F32" s="185" t="str">
        <f t="shared" ref="F32:P32" si="14">IF(F31=0, "", IF(MOD(F31, $D$31) = 0, F31/ $D$31, IF(INT(F31 / $D$31) = 0, MOD(F31, $D$31) &amp; " P", INT(F31 / $D$31) &amp; " + " &amp; MOD(F31, $D$31) &amp; " P")))</f>
        <v/>
      </c>
      <c r="G32" s="185" t="str">
        <f t="shared" si="14"/>
        <v/>
      </c>
      <c r="H32" s="185" t="str">
        <f t="shared" si="14"/>
        <v/>
      </c>
      <c r="I32" s="185" t="str">
        <f t="shared" si="14"/>
        <v/>
      </c>
      <c r="J32" s="185" t="str">
        <f t="shared" si="14"/>
        <v/>
      </c>
      <c r="K32" s="185" t="str">
        <f t="shared" si="14"/>
        <v/>
      </c>
      <c r="L32" s="185" t="str">
        <f t="shared" si="14"/>
        <v/>
      </c>
      <c r="M32" s="185" t="str">
        <f t="shared" si="14"/>
        <v/>
      </c>
      <c r="N32" s="185" t="str">
        <f t="shared" si="14"/>
        <v/>
      </c>
      <c r="O32" s="185" t="str">
        <f t="shared" si="14"/>
        <v/>
      </c>
      <c r="P32" s="185" t="str">
        <f t="shared" si="14"/>
        <v/>
      </c>
      <c r="Q32" s="238"/>
      <c r="R32" s="240"/>
      <c r="S32" s="242"/>
      <c r="T32" s="244"/>
      <c r="U32" s="3"/>
      <c r="V32" s="167"/>
      <c r="W32" s="172"/>
      <c r="X32" s="173"/>
      <c r="Y32" s="168"/>
      <c r="Z32" s="174"/>
      <c r="AK32" s="46">
        <v>33</v>
      </c>
    </row>
    <row r="33" spans="2:37" ht="61.8" customHeight="1" thickBot="1">
      <c r="B33" s="192">
        <v>10</v>
      </c>
      <c r="C33" s="158" t="s">
        <v>64</v>
      </c>
      <c r="D33" s="235">
        <v>45</v>
      </c>
      <c r="E33" s="187"/>
      <c r="F33" s="188"/>
      <c r="G33" s="188"/>
      <c r="H33" s="188"/>
      <c r="I33" s="188"/>
      <c r="J33" s="188"/>
      <c r="K33" s="188"/>
      <c r="L33" s="188"/>
      <c r="M33" s="189"/>
      <c r="N33" s="189"/>
      <c r="O33" s="191"/>
      <c r="P33" s="191"/>
      <c r="Q33" s="237">
        <f>SUM(E33:P33)</f>
        <v>0</v>
      </c>
      <c r="R33" s="239">
        <f>'บางบัวทอง-รถ'!C19</f>
        <v>0</v>
      </c>
      <c r="S33" s="241"/>
      <c r="T33" s="243">
        <f t="shared" ref="T33" si="15">SUM(S33-Q33)</f>
        <v>0</v>
      </c>
      <c r="U33" s="3"/>
      <c r="V33" s="167">
        <f>SUM(E33,F33)</f>
        <v>0</v>
      </c>
      <c r="W33" s="168">
        <f>SUM(G33,H33)</f>
        <v>0</v>
      </c>
      <c r="X33" s="169">
        <f>SUM(I33,J33)</f>
        <v>0</v>
      </c>
      <c r="Y33" s="168">
        <f>SUM(K33,L33,M33,)</f>
        <v>0</v>
      </c>
      <c r="Z33" s="170">
        <f>SUM(N33,O33,P33)</f>
        <v>0</v>
      </c>
      <c r="AK33" s="45" t="str">
        <f>IF(AK28=0, "", IF(MOD(AK28, $D$35) = 0, AK28/ $D$35, IF(INT(AK28 / $D$35) = 0, MOD(AK28, $D$35) &amp; " P", INT(AK28 / $D$35) &amp; " + " &amp; MOD(AK28, $D$35) &amp; " P")))</f>
        <v>2 + 4 P</v>
      </c>
    </row>
    <row r="34" spans="2:37" ht="61.8" customHeight="1" thickBot="1">
      <c r="B34" s="193"/>
      <c r="C34" s="161" t="s">
        <v>114</v>
      </c>
      <c r="D34" s="236"/>
      <c r="E34" s="185" t="str">
        <f>IF(E33=0, "", IF(MOD(E33, $D$33) = 0, E33/ $D$33, IF(INT(E33 / $D$33) = 0, MOD(E33, $D$33) &amp; " P", INT(E33 / $D$33) &amp; " + " &amp; MOD(E33, $D$33) &amp; " P")))</f>
        <v/>
      </c>
      <c r="F34" s="185" t="str">
        <f t="shared" ref="F34:P34" si="16">IF(F33=0, "", IF(MOD(F33, $D$33) = 0, F33/ $D$33, IF(INT(F33 / $D$33) = 0, MOD(F33, $D$33) &amp; " P", INT(F33 / $D$33) &amp; " + " &amp; MOD(F33, $D$33) &amp; " P")))</f>
        <v/>
      </c>
      <c r="G34" s="185" t="str">
        <f t="shared" si="16"/>
        <v/>
      </c>
      <c r="H34" s="185" t="str">
        <f t="shared" si="16"/>
        <v/>
      </c>
      <c r="I34" s="185" t="str">
        <f t="shared" si="16"/>
        <v/>
      </c>
      <c r="J34" s="185" t="str">
        <f t="shared" si="16"/>
        <v/>
      </c>
      <c r="K34" s="185" t="str">
        <f t="shared" si="16"/>
        <v/>
      </c>
      <c r="L34" s="185" t="str">
        <f t="shared" si="16"/>
        <v/>
      </c>
      <c r="M34" s="185" t="str">
        <f>IF(M33=0, "", IF(MOD(M33, $D$33) = 0, M33/ $D$33, IF(INT(M33 / $D$33) = 0, MOD(M33, $D$33) &amp; " P", INT(M33 / $D$33) &amp; " + " &amp; MOD(M33, $D$33) &amp; " P")))</f>
        <v/>
      </c>
      <c r="N34" s="185" t="str">
        <f>IF(N33=0, "", IF(MOD(N33, $D$33) = 0, N33/ $D$33, IF(INT(N33 / $D$33) = 0, MOD(N33, $D$33) &amp; " P", INT(N33 / $D$33) &amp; " + " &amp; MOD(N33, $D$33) &amp; " P")))</f>
        <v/>
      </c>
      <c r="O34" s="185" t="str">
        <f t="shared" si="16"/>
        <v/>
      </c>
      <c r="P34" s="185" t="str">
        <f t="shared" si="16"/>
        <v/>
      </c>
      <c r="Q34" s="238"/>
      <c r="R34" s="240"/>
      <c r="S34" s="242"/>
      <c r="T34" s="244"/>
      <c r="U34" s="3"/>
      <c r="V34" s="167"/>
      <c r="W34" s="172"/>
      <c r="X34" s="173"/>
      <c r="Y34" s="168"/>
      <c r="Z34" s="174"/>
    </row>
    <row r="35" spans="2:37" ht="61.8" customHeight="1" thickBot="1">
      <c r="B35" s="192">
        <v>11</v>
      </c>
      <c r="C35" s="158" t="s">
        <v>132</v>
      </c>
      <c r="D35" s="235">
        <v>15</v>
      </c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237">
        <f>SUM(E35:P35)</f>
        <v>0</v>
      </c>
      <c r="R35" s="239">
        <f>'บางบัวทอง-รถ'!C20</f>
        <v>0</v>
      </c>
      <c r="S35" s="241"/>
      <c r="T35" s="243">
        <f t="shared" ref="T35" si="17">SUM(S35-Q35)</f>
        <v>0</v>
      </c>
      <c r="U35" s="3"/>
      <c r="V35" s="167">
        <f>SUM(E35,F35)</f>
        <v>0</v>
      </c>
      <c r="W35" s="168">
        <f>SUM(G35,H35)</f>
        <v>0</v>
      </c>
      <c r="X35" s="169">
        <f>SUM(I35,J35)</f>
        <v>0</v>
      </c>
      <c r="Y35" s="168">
        <f>SUM(K35,L35,M35,)</f>
        <v>0</v>
      </c>
      <c r="Z35" s="170">
        <f>SUM(N35,O35,P35)</f>
        <v>0</v>
      </c>
      <c r="AK35" s="45" t="str">
        <f>IF(AK30=0, "", IF(MOD(AK30, $D$35) = 0, AK30/ $D$35, IF(INT(AK30 / $D$35) = 0, MOD(AK30, $D$35) &amp; " P", INT(AK30 / $D$35) &amp; " + " &amp; MOD(AK30, $D$35) &amp; " P")))</f>
        <v>2 + 3 P</v>
      </c>
    </row>
    <row r="36" spans="2:37" ht="61.8" customHeight="1" thickBot="1">
      <c r="B36" s="193"/>
      <c r="C36" s="161" t="s">
        <v>133</v>
      </c>
      <c r="D36" s="236"/>
      <c r="E36" s="185" t="str">
        <f>IF(E35=0, "", IF(MOD(E35, $D$35) = 0, E35/ $D$35, IF(INT(E35 / $D$35) = 0, MOD(E35, $D$35) &amp; " P", INT(E35 / $D$35) &amp; " + " &amp; MOD(E35, $D$35) &amp; " P")))</f>
        <v/>
      </c>
      <c r="F36" s="185" t="str">
        <f t="shared" ref="F36:P36" si="18">IF(F35=0, "", IF(MOD(F35, $D$35) = 0, F35/ $D$35, IF(INT(F35 / $D$35) = 0, MOD(F35, $D$35) &amp; " P", INT(F35 / $D$35) &amp; " + " &amp; MOD(F35, $D$35) &amp; " P")))</f>
        <v/>
      </c>
      <c r="G36" s="185" t="str">
        <f t="shared" si="18"/>
        <v/>
      </c>
      <c r="H36" s="185" t="str">
        <f t="shared" si="18"/>
        <v/>
      </c>
      <c r="I36" s="185" t="str">
        <f t="shared" si="18"/>
        <v/>
      </c>
      <c r="J36" s="185" t="str">
        <f t="shared" si="18"/>
        <v/>
      </c>
      <c r="K36" s="185" t="str">
        <f t="shared" si="18"/>
        <v/>
      </c>
      <c r="L36" s="185" t="str">
        <f t="shared" si="18"/>
        <v/>
      </c>
      <c r="M36" s="185" t="str">
        <f t="shared" si="18"/>
        <v/>
      </c>
      <c r="N36" s="185" t="str">
        <f t="shared" si="18"/>
        <v/>
      </c>
      <c r="O36" s="185" t="str">
        <f t="shared" si="18"/>
        <v/>
      </c>
      <c r="P36" s="185" t="str">
        <f t="shared" si="18"/>
        <v/>
      </c>
      <c r="Q36" s="238"/>
      <c r="R36" s="240"/>
      <c r="S36" s="242"/>
      <c r="T36" s="244"/>
      <c r="U36" s="3"/>
      <c r="V36" s="167"/>
      <c r="W36" s="172"/>
      <c r="X36" s="173"/>
      <c r="Y36" s="168"/>
      <c r="Z36" s="174"/>
    </row>
    <row r="37" spans="2:37" ht="61.8" customHeight="1" thickBot="1">
      <c r="B37" s="192">
        <v>12</v>
      </c>
      <c r="C37" s="158" t="s">
        <v>147</v>
      </c>
      <c r="D37" s="235">
        <v>27</v>
      </c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237">
        <f>SUM(E37:P37)</f>
        <v>0</v>
      </c>
      <c r="R37" s="239">
        <f>'บางบัวทอง-รถ'!C21</f>
        <v>0</v>
      </c>
      <c r="S37" s="241"/>
      <c r="T37" s="243">
        <f t="shared" ref="T37" si="19">SUM(S37-Q37)</f>
        <v>0</v>
      </c>
      <c r="U37" s="3"/>
      <c r="V37" s="167">
        <f>SUM(E37,F37)</f>
        <v>0</v>
      </c>
      <c r="W37" s="168">
        <f>SUM(G37,H37)</f>
        <v>0</v>
      </c>
      <c r="X37" s="169">
        <f>SUM(I37,J37)</f>
        <v>0</v>
      </c>
      <c r="Y37" s="168">
        <f>SUM(K37,L37,M37,)</f>
        <v>0</v>
      </c>
      <c r="Z37" s="170">
        <f>SUM(N37,O37,P37)</f>
        <v>0</v>
      </c>
      <c r="AK37" s="45" t="str">
        <f>IF(AK32=0, "", IF(MOD(AK32, $D$35) = 0, AK32/ $D$35, IF(INT(AK32 / $D$35) = 0, MOD(AK32, $D$35) &amp; " P", INT(AK32 / $D$35) &amp; " + " &amp; MOD(AK32, $D$35) &amp; " P")))</f>
        <v>2 + 3 P</v>
      </c>
    </row>
    <row r="38" spans="2:37" ht="61.8" customHeight="1" thickBot="1">
      <c r="B38" s="193"/>
      <c r="C38" s="161" t="s">
        <v>146</v>
      </c>
      <c r="D38" s="236"/>
      <c r="E38" s="185" t="str">
        <f>IF(E37=0, "", IF(MOD(E37, $D$37) = 0, E37/ $D$37, IF(INT(E37 / $D$37) = 0, MOD(E37, $D$37) &amp; " P", INT(E37 / $D$37) &amp; " + " &amp; MOD(E37, $D$37) &amp; " P")))</f>
        <v/>
      </c>
      <c r="F38" s="185" t="str">
        <f t="shared" ref="F38:P38" si="20">IF(F37=0, "", IF(MOD(F37, $D$37) = 0, F37/ $D$37, IF(INT(F37 / $D$37) = 0, MOD(F37, $D$37) &amp; " P", INT(F37 / $D$37) &amp; " + " &amp; MOD(F37, $D$37) &amp; " P")))</f>
        <v/>
      </c>
      <c r="G38" s="185" t="str">
        <f t="shared" si="20"/>
        <v/>
      </c>
      <c r="H38" s="185" t="str">
        <f t="shared" si="20"/>
        <v/>
      </c>
      <c r="I38" s="185" t="str">
        <f t="shared" si="20"/>
        <v/>
      </c>
      <c r="J38" s="185" t="str">
        <f t="shared" si="20"/>
        <v/>
      </c>
      <c r="K38" s="185" t="str">
        <f t="shared" si="20"/>
        <v/>
      </c>
      <c r="L38" s="185" t="str">
        <f t="shared" si="20"/>
        <v/>
      </c>
      <c r="M38" s="185" t="str">
        <f t="shared" si="20"/>
        <v/>
      </c>
      <c r="N38" s="185" t="str">
        <f t="shared" si="20"/>
        <v/>
      </c>
      <c r="O38" s="185" t="str">
        <f t="shared" si="20"/>
        <v/>
      </c>
      <c r="P38" s="185" t="str">
        <f t="shared" si="20"/>
        <v/>
      </c>
      <c r="Q38" s="238"/>
      <c r="R38" s="240"/>
      <c r="S38" s="242"/>
      <c r="T38" s="244"/>
      <c r="U38" s="3"/>
      <c r="V38" s="167"/>
      <c r="W38" s="172"/>
      <c r="X38" s="173"/>
      <c r="Y38" s="168"/>
      <c r="Z38" s="174"/>
    </row>
    <row r="39" spans="2:37" ht="61.8" customHeight="1" thickBot="1">
      <c r="B39" s="192">
        <v>13</v>
      </c>
      <c r="C39" s="158" t="s">
        <v>109</v>
      </c>
      <c r="D39" s="235">
        <v>15</v>
      </c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237">
        <f>SUM(E39:P39)</f>
        <v>0</v>
      </c>
      <c r="R39" s="239">
        <f>'บางบัวทอง-รถ'!C22</f>
        <v>0</v>
      </c>
      <c r="S39" s="241"/>
      <c r="T39" s="243">
        <f t="shared" ref="T39" si="21">SUM(S39-Q39)</f>
        <v>0</v>
      </c>
      <c r="U39" s="3"/>
      <c r="V39" s="167">
        <f>SUM(E39,F39)</f>
        <v>0</v>
      </c>
      <c r="W39" s="168">
        <f>SUM(G39,H39)</f>
        <v>0</v>
      </c>
      <c r="X39" s="169">
        <f>SUM(I39,J39)</f>
        <v>0</v>
      </c>
      <c r="Y39" s="168">
        <f>SUM(K39,L39,M39,)</f>
        <v>0</v>
      </c>
      <c r="Z39" s="170">
        <f>SUM(N39,O39,P39)</f>
        <v>0</v>
      </c>
      <c r="AK39" s="45" t="str">
        <f>IF(AK34=0, "", IF(MOD(AK34, $D$35) = 0, AK34/ $D$35, IF(INT(AK34 / $D$35) = 0, MOD(AK34, $D$35) &amp; " P", INT(AK34 / $D$35) &amp; " + " &amp; MOD(AK34, $D$35) &amp; " P")))</f>
        <v/>
      </c>
    </row>
    <row r="40" spans="2:37" ht="61.8" customHeight="1" thickBot="1">
      <c r="B40" s="193"/>
      <c r="C40" s="161" t="s">
        <v>118</v>
      </c>
      <c r="D40" s="236"/>
      <c r="E40" s="185" t="str">
        <f>IF(E39=0, "", IF(MOD(E39, $D$39) = 0, E39/ $D$39, IF(INT(E39 / $D$39) = 0, MOD(E39, $D$39) &amp; " P", INT(E39 / $D$39) &amp; " + " &amp; MOD(E39, $D$39) &amp; " P")))</f>
        <v/>
      </c>
      <c r="F40" s="185" t="str">
        <f t="shared" ref="F40:P40" si="22">IF(F39=0, "", IF(MOD(F39, $D$39) = 0, F39/ $D$39, IF(INT(F39 / $D$39) = 0, MOD(F39, $D$39) &amp; " P", INT(F39 / $D$39) &amp; " + " &amp; MOD(F39, $D$39) &amp; " P")))</f>
        <v/>
      </c>
      <c r="G40" s="185" t="str">
        <f t="shared" si="22"/>
        <v/>
      </c>
      <c r="H40" s="185" t="str">
        <f t="shared" si="22"/>
        <v/>
      </c>
      <c r="I40" s="185" t="str">
        <f t="shared" si="22"/>
        <v/>
      </c>
      <c r="J40" s="185" t="str">
        <f t="shared" si="22"/>
        <v/>
      </c>
      <c r="K40" s="185" t="str">
        <f t="shared" si="22"/>
        <v/>
      </c>
      <c r="L40" s="185" t="str">
        <f t="shared" si="22"/>
        <v/>
      </c>
      <c r="M40" s="185" t="str">
        <f t="shared" si="22"/>
        <v/>
      </c>
      <c r="N40" s="185" t="str">
        <f t="shared" si="22"/>
        <v/>
      </c>
      <c r="O40" s="185" t="str">
        <f t="shared" si="22"/>
        <v/>
      </c>
      <c r="P40" s="185" t="str">
        <f t="shared" si="22"/>
        <v/>
      </c>
      <c r="Q40" s="238"/>
      <c r="R40" s="240"/>
      <c r="S40" s="242"/>
      <c r="T40" s="244"/>
      <c r="U40" s="3"/>
      <c r="V40" s="167"/>
      <c r="W40" s="172"/>
      <c r="X40" s="173"/>
      <c r="Y40" s="168"/>
      <c r="Z40" s="174"/>
    </row>
    <row r="41" spans="2:37" ht="61.8" customHeight="1" thickBot="1">
      <c r="B41" s="192">
        <v>14</v>
      </c>
      <c r="C41" s="158" t="s">
        <v>130</v>
      </c>
      <c r="D41" s="235">
        <v>27</v>
      </c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237">
        <f>SUM(E41:P41)</f>
        <v>0</v>
      </c>
      <c r="R41" s="239">
        <f>'บางบัวทอง-รถ'!C23</f>
        <v>0</v>
      </c>
      <c r="S41" s="241"/>
      <c r="T41" s="243">
        <f t="shared" ref="T41" si="23">SUM(S41-Q41)</f>
        <v>0</v>
      </c>
      <c r="U41" s="3"/>
      <c r="V41" s="167">
        <f>SUM(E41,F41)</f>
        <v>0</v>
      </c>
      <c r="W41" s="168">
        <f>SUM(G41,H41)</f>
        <v>0</v>
      </c>
      <c r="X41" s="169">
        <f>SUM(I41,J41)</f>
        <v>0</v>
      </c>
      <c r="Y41" s="168">
        <f>SUM(K41,L41,M41,)</f>
        <v>0</v>
      </c>
      <c r="Z41" s="170">
        <f>SUM(N41,O41,P41)</f>
        <v>0</v>
      </c>
      <c r="AK41" s="45" t="str">
        <f>IF(AK36=0, "", IF(MOD(AK36, $D$35) = 0, AK36/ $D$35, IF(INT(AK36 / $D$35) = 0, MOD(AK36, $D$35) &amp; " P", INT(AK36 / $D$35) &amp; " + " &amp; MOD(AK36, $D$35) &amp; " P")))</f>
        <v/>
      </c>
    </row>
    <row r="42" spans="2:37" ht="61.8" customHeight="1" thickBot="1">
      <c r="B42" s="193"/>
      <c r="C42" s="161" t="s">
        <v>131</v>
      </c>
      <c r="D42" s="236"/>
      <c r="E42" s="185" t="str">
        <f>IF(E41=0, "", IF(MOD(E41, $D$41) = 0, E41/ $D$41, IF(INT(E41 / $D$41) = 0, MOD(E41, $D$41) &amp; " P", INT(E41 / $D$41) &amp; " + " &amp; MOD(E41, $D$41) &amp; " P")))</f>
        <v/>
      </c>
      <c r="F42" s="185" t="str">
        <f t="shared" ref="F42:P42" si="24">IF(F41=0, "", IF(MOD(F41, $D$41) = 0, F41/ $D$41, IF(INT(F41 / $D$41) = 0, MOD(F41, $D$41) &amp; " P", INT(F41 / $D$41) &amp; " + " &amp; MOD(F41, $D$41) &amp; " P")))</f>
        <v/>
      </c>
      <c r="G42" s="185" t="str">
        <f t="shared" si="24"/>
        <v/>
      </c>
      <c r="H42" s="185" t="str">
        <f t="shared" si="24"/>
        <v/>
      </c>
      <c r="I42" s="185" t="str">
        <f t="shared" si="24"/>
        <v/>
      </c>
      <c r="J42" s="185" t="str">
        <f t="shared" si="24"/>
        <v/>
      </c>
      <c r="K42" s="185" t="str">
        <f t="shared" si="24"/>
        <v/>
      </c>
      <c r="L42" s="185" t="str">
        <f t="shared" si="24"/>
        <v/>
      </c>
      <c r="M42" s="185" t="str">
        <f t="shared" si="24"/>
        <v/>
      </c>
      <c r="N42" s="185" t="str">
        <f t="shared" si="24"/>
        <v/>
      </c>
      <c r="O42" s="185" t="str">
        <f t="shared" si="24"/>
        <v/>
      </c>
      <c r="P42" s="185" t="str">
        <f t="shared" si="24"/>
        <v/>
      </c>
      <c r="Q42" s="238"/>
      <c r="R42" s="240"/>
      <c r="S42" s="242"/>
      <c r="T42" s="244"/>
      <c r="U42" s="3"/>
      <c r="V42" s="167"/>
      <c r="W42" s="172"/>
      <c r="X42" s="173"/>
      <c r="Y42" s="168"/>
      <c r="Z42" s="174"/>
    </row>
    <row r="43" spans="2:37" ht="61.8" customHeight="1" thickBot="1">
      <c r="B43" s="192">
        <v>15</v>
      </c>
      <c r="C43" s="158" t="s">
        <v>65</v>
      </c>
      <c r="D43" s="235">
        <v>20</v>
      </c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237">
        <f>SUM(E43:P43)</f>
        <v>0</v>
      </c>
      <c r="R43" s="239">
        <f>'บางบัวทอง-รถ'!C24</f>
        <v>0</v>
      </c>
      <c r="S43" s="241"/>
      <c r="T43" s="243">
        <f t="shared" ref="T43" si="25">SUM(S43-Q43)</f>
        <v>0</v>
      </c>
      <c r="U43" s="3"/>
      <c r="V43" s="167">
        <f>SUM(E43,F43)</f>
        <v>0</v>
      </c>
      <c r="W43" s="168">
        <f>SUM(G43,H43)</f>
        <v>0</v>
      </c>
      <c r="X43" s="169">
        <f>SUM(I43,J43)</f>
        <v>0</v>
      </c>
      <c r="Y43" s="168">
        <f>SUM(K43,L43,M43,)</f>
        <v>0</v>
      </c>
      <c r="Z43" s="170">
        <f>SUM(N43,O43,P43)</f>
        <v>0</v>
      </c>
      <c r="AK43" s="45" t="str">
        <f>IF(AK34=0, "", IF(MOD(AK34, $D$35) = 0, AK34/ $D$35, IF(INT(AK34 / $D$35) = 0, MOD(AK34, $D$35) &amp; " P", INT(AK34 / $D$35) &amp; " + " &amp; MOD(AK34, $D$35) &amp; " P")))</f>
        <v/>
      </c>
    </row>
    <row r="44" spans="2:37" ht="61.8" customHeight="1" thickBot="1">
      <c r="B44" s="193"/>
      <c r="C44" s="160" t="s">
        <v>115</v>
      </c>
      <c r="D44" s="236"/>
      <c r="E44" s="185" t="str">
        <f>IF(E43=0, "", IF(MOD(E43, $D$43) = 0, E43/ $D$43, IF(INT(E43 / $D$43) = 0, MOD(E43, $D$43) &amp; " P", INT(E43 / $D$43) &amp; " + " &amp; MOD(E43, $D$43) &amp; " P")))</f>
        <v/>
      </c>
      <c r="F44" s="185" t="str">
        <f t="shared" ref="F44:P44" si="26">IF(F43=0, "", IF(MOD(F43, $D$43) = 0, F43/ $D$43, IF(INT(F43 / $D$43) = 0, MOD(F43, $D$43) &amp; " P", INT(F43 / $D$43) &amp; " + " &amp; MOD(F43, $D$43) &amp; " P")))</f>
        <v/>
      </c>
      <c r="G44" s="185" t="str">
        <f t="shared" si="26"/>
        <v/>
      </c>
      <c r="H44" s="185" t="str">
        <f t="shared" si="26"/>
        <v/>
      </c>
      <c r="I44" s="185" t="str">
        <f t="shared" si="26"/>
        <v/>
      </c>
      <c r="J44" s="185" t="str">
        <f t="shared" si="26"/>
        <v/>
      </c>
      <c r="K44" s="185" t="str">
        <f t="shared" si="26"/>
        <v/>
      </c>
      <c r="L44" s="185" t="str">
        <f t="shared" si="26"/>
        <v/>
      </c>
      <c r="M44" s="185" t="str">
        <f t="shared" si="26"/>
        <v/>
      </c>
      <c r="N44" s="185" t="str">
        <f t="shared" si="26"/>
        <v/>
      </c>
      <c r="O44" s="185" t="str">
        <f t="shared" si="26"/>
        <v/>
      </c>
      <c r="P44" s="185" t="str">
        <f t="shared" si="26"/>
        <v/>
      </c>
      <c r="Q44" s="238"/>
      <c r="R44" s="240"/>
      <c r="S44" s="242"/>
      <c r="T44" s="244"/>
      <c r="U44" s="3"/>
      <c r="V44" s="167"/>
      <c r="W44" s="172"/>
      <c r="X44" s="173"/>
      <c r="Y44" s="168"/>
      <c r="Z44" s="174"/>
    </row>
    <row r="45" spans="2:37" ht="61.8" customHeight="1" thickBot="1">
      <c r="B45" s="192">
        <v>16</v>
      </c>
      <c r="C45" s="157" t="s">
        <v>66</v>
      </c>
      <c r="D45" s="235">
        <v>32</v>
      </c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237">
        <f>SUM(E45:P45)</f>
        <v>0</v>
      </c>
      <c r="R45" s="239">
        <f>'บางบัวทอง-รถ'!C25</f>
        <v>0</v>
      </c>
      <c r="S45" s="241"/>
      <c r="T45" s="243">
        <f t="shared" ref="T45" si="27">SUM(S45-Q45)</f>
        <v>0</v>
      </c>
      <c r="U45" s="3"/>
      <c r="V45" s="167">
        <f>SUM(E45,F45)</f>
        <v>0</v>
      </c>
      <c r="W45" s="168">
        <f>SUM(G45,H45)</f>
        <v>0</v>
      </c>
      <c r="X45" s="169">
        <f>SUM(I45,J45)</f>
        <v>0</v>
      </c>
      <c r="Y45" s="168">
        <f>SUM(K45,L45,M45,)</f>
        <v>0</v>
      </c>
      <c r="Z45" s="170">
        <f>SUM(N45,O45,P45)</f>
        <v>0</v>
      </c>
      <c r="AK45" s="45" t="str">
        <f>IF(AK36=0, "", IF(MOD(AK36, $D$35) = 0, AK36/ $D$35, IF(INT(AK36 / $D$35) = 0, MOD(AK36, $D$35) &amp; " P", INT(AK36 / $D$35) &amp; " + " &amp; MOD(AK36, $D$35) &amp; " P")))</f>
        <v/>
      </c>
    </row>
    <row r="46" spans="2:37" ht="61.8" customHeight="1" thickBot="1">
      <c r="B46" s="193"/>
      <c r="C46" s="160" t="s">
        <v>116</v>
      </c>
      <c r="D46" s="236"/>
      <c r="E46" s="185" t="str">
        <f>IF(E45=0, "", IF(MOD(E45, $D$45) = 0, E45/ $D$45, IF(INT(E45 / $D$45) = 0, MOD(E45, $D$45) &amp; " P", INT(E45 / $D$45) &amp; " + " &amp; MOD(E45, $D$45) &amp; " P")))</f>
        <v/>
      </c>
      <c r="F46" s="185" t="str">
        <f t="shared" ref="F46:P46" si="28">IF(F45=0, "", IF(MOD(F45, $D$45) = 0, F45/ $D$45, IF(INT(F45 / $D$45) = 0, MOD(F45, $D$45) &amp; " P", INT(F45 / $D$45) &amp; " + " &amp; MOD(F45, $D$45) &amp; " P")))</f>
        <v/>
      </c>
      <c r="G46" s="185" t="str">
        <f t="shared" si="28"/>
        <v/>
      </c>
      <c r="H46" s="185" t="str">
        <f t="shared" si="28"/>
        <v/>
      </c>
      <c r="I46" s="185" t="str">
        <f t="shared" si="28"/>
        <v/>
      </c>
      <c r="J46" s="185" t="str">
        <f t="shared" si="28"/>
        <v/>
      </c>
      <c r="K46" s="185" t="str">
        <f t="shared" si="28"/>
        <v/>
      </c>
      <c r="L46" s="185" t="str">
        <f t="shared" si="28"/>
        <v/>
      </c>
      <c r="M46" s="185" t="str">
        <f t="shared" si="28"/>
        <v/>
      </c>
      <c r="N46" s="185" t="str">
        <f t="shared" si="28"/>
        <v/>
      </c>
      <c r="O46" s="185" t="str">
        <f t="shared" si="28"/>
        <v/>
      </c>
      <c r="P46" s="185" t="str">
        <f t="shared" si="28"/>
        <v/>
      </c>
      <c r="Q46" s="238"/>
      <c r="R46" s="240"/>
      <c r="S46" s="242"/>
      <c r="T46" s="244"/>
      <c r="U46" s="3"/>
      <c r="V46" s="167"/>
      <c r="W46" s="172"/>
      <c r="X46" s="173"/>
      <c r="Y46" s="168"/>
      <c r="Z46" s="174"/>
    </row>
    <row r="47" spans="2:37" ht="61.8" customHeight="1" thickBot="1">
      <c r="B47" s="192">
        <v>17</v>
      </c>
      <c r="C47" s="156" t="s">
        <v>105</v>
      </c>
      <c r="D47" s="235">
        <v>15</v>
      </c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237">
        <f>SUM(E47:P47)</f>
        <v>0</v>
      </c>
      <c r="R47" s="239">
        <f>'บางบัวทอง-รถ'!C26</f>
        <v>0</v>
      </c>
      <c r="S47" s="241"/>
      <c r="T47" s="243">
        <f t="shared" ref="T47" si="29">SUM(S47-Q47)</f>
        <v>0</v>
      </c>
      <c r="U47" s="3"/>
      <c r="V47" s="167">
        <f>SUM(E47,F47)</f>
        <v>0</v>
      </c>
      <c r="W47" s="168">
        <f>SUM(G47,H47)</f>
        <v>0</v>
      </c>
      <c r="X47" s="169">
        <f>SUM(I47,J47)</f>
        <v>0</v>
      </c>
      <c r="Y47" s="168">
        <f>SUM(K47,L47,M47,)</f>
        <v>0</v>
      </c>
      <c r="Z47" s="170">
        <f>SUM(N47,O47,P47)</f>
        <v>0</v>
      </c>
      <c r="AK47" s="45" t="str">
        <f>IF(AK36=0, "", IF(MOD(AK36, $D$35) = 0, AK36/ $D$35, IF(INT(AK36 / $D$35) = 0, MOD(AK36, $D$35) &amp; " P", INT(AK36 / $D$35) &amp; " + " &amp; MOD(AK36, $D$35) &amp; " P")))</f>
        <v/>
      </c>
    </row>
    <row r="48" spans="2:37" ht="61.8" customHeight="1" thickBot="1">
      <c r="B48" s="193"/>
      <c r="C48" s="161" t="s">
        <v>117</v>
      </c>
      <c r="D48" s="236"/>
      <c r="E48" s="185" t="str">
        <f>IF(E47=0, "", IF(MOD(E47, $D$47) = 0, E47/ $D$47, IF(INT(E47 / $D$47) = 0, MOD(E47, $D$47) &amp; " P", INT(E47 / $D$47) &amp; " + " &amp; MOD(E47, $D$47) &amp; " P")))</f>
        <v/>
      </c>
      <c r="F48" s="185" t="str">
        <f t="shared" ref="F48:P48" si="30">IF(F47=0, "", IF(MOD(F47, $D$47) = 0, F47/ $D$47, IF(INT(F47 / $D$47) = 0, MOD(F47, $D$47) &amp; " P", INT(F47 / $D$47) &amp; " + " &amp; MOD(F47, $D$47) &amp; " P")))</f>
        <v/>
      </c>
      <c r="G48" s="185" t="str">
        <f t="shared" si="30"/>
        <v/>
      </c>
      <c r="H48" s="185" t="str">
        <f t="shared" si="30"/>
        <v/>
      </c>
      <c r="I48" s="185" t="str">
        <f t="shared" si="30"/>
        <v/>
      </c>
      <c r="J48" s="185" t="str">
        <f t="shared" si="30"/>
        <v/>
      </c>
      <c r="K48" s="185" t="str">
        <f t="shared" si="30"/>
        <v/>
      </c>
      <c r="L48" s="185" t="str">
        <f t="shared" si="30"/>
        <v/>
      </c>
      <c r="M48" s="185" t="str">
        <f t="shared" si="30"/>
        <v/>
      </c>
      <c r="N48" s="185" t="str">
        <f t="shared" si="30"/>
        <v/>
      </c>
      <c r="O48" s="185" t="str">
        <f t="shared" si="30"/>
        <v/>
      </c>
      <c r="P48" s="185" t="str">
        <f t="shared" si="30"/>
        <v/>
      </c>
      <c r="Q48" s="238"/>
      <c r="R48" s="240"/>
      <c r="S48" s="242"/>
      <c r="T48" s="244"/>
      <c r="U48" s="3"/>
      <c r="V48" s="167"/>
      <c r="W48" s="172"/>
      <c r="X48" s="173"/>
      <c r="Y48" s="168"/>
      <c r="Z48" s="174"/>
    </row>
    <row r="49" spans="2:37" ht="61.8" customHeight="1" thickBot="1">
      <c r="B49" s="192">
        <v>18</v>
      </c>
      <c r="C49" s="155" t="s">
        <v>145</v>
      </c>
      <c r="D49" s="245">
        <v>8</v>
      </c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237">
        <f>SUM(E49:P49)</f>
        <v>0</v>
      </c>
      <c r="R49" s="239">
        <f>'บางบัวทอง-รถ'!C27</f>
        <v>0</v>
      </c>
      <c r="S49" s="241"/>
      <c r="T49" s="243">
        <f t="shared" ref="T49" si="31">SUM(S49-Q49)</f>
        <v>0</v>
      </c>
      <c r="U49" s="3"/>
      <c r="V49" s="167">
        <f>SUM(E49,F49)</f>
        <v>0</v>
      </c>
      <c r="W49" s="168">
        <f>SUM(G49,H49)</f>
        <v>0</v>
      </c>
      <c r="X49" s="169">
        <f>SUM(I49,J49)</f>
        <v>0</v>
      </c>
      <c r="Y49" s="168">
        <f>SUM(K49,L49,M49,)</f>
        <v>0</v>
      </c>
      <c r="Z49" s="170">
        <f>SUM(N49,O49,P49)</f>
        <v>0</v>
      </c>
      <c r="AK49" s="45" t="str">
        <f>IF(AK40=0, "", IF(MOD(AK40, $D$35) = 0, AK40/ $D$35, IF(INT(AK40 / $D$35) = 0, MOD(AK40, $D$35) &amp; " P", INT(AK40 / $D$35) &amp; " + " &amp; MOD(AK40, $D$35) &amp; " P")))</f>
        <v/>
      </c>
    </row>
    <row r="50" spans="2:37" ht="61.8" customHeight="1" thickBot="1">
      <c r="B50" s="193"/>
      <c r="C50" s="181" t="s">
        <v>144</v>
      </c>
      <c r="D50" s="246"/>
      <c r="E50" s="185" t="str">
        <f>IF(E49=0, "", IF(MOD(E49, $D$49) = 0, E49/ $D$49, IF(INT(E49 / $D$49) = 0, MOD(E49, $D$49) &amp; " P", INT(E49 / $D$49) &amp; " + " &amp; MOD(E49, $D$49) &amp; " P")))</f>
        <v/>
      </c>
      <c r="F50" s="185" t="str">
        <f t="shared" ref="F50:P50" si="32">IF(F49=0, "", IF(MOD(F49, $D$49) = 0, F49/ $D$49, IF(INT(F49 / $D$49) = 0, MOD(F49, $D$49) &amp; " P", INT(F49 / $D$49) &amp; " + " &amp; MOD(F49, $D$49) &amp; " P")))</f>
        <v/>
      </c>
      <c r="G50" s="185" t="str">
        <f t="shared" si="32"/>
        <v/>
      </c>
      <c r="H50" s="185" t="str">
        <f t="shared" si="32"/>
        <v/>
      </c>
      <c r="I50" s="185" t="str">
        <f t="shared" si="32"/>
        <v/>
      </c>
      <c r="J50" s="185" t="str">
        <f t="shared" si="32"/>
        <v/>
      </c>
      <c r="K50" s="185" t="str">
        <f t="shared" si="32"/>
        <v/>
      </c>
      <c r="L50" s="185" t="str">
        <f t="shared" si="32"/>
        <v/>
      </c>
      <c r="M50" s="185" t="str">
        <f t="shared" si="32"/>
        <v/>
      </c>
      <c r="N50" s="185" t="str">
        <f t="shared" si="32"/>
        <v/>
      </c>
      <c r="O50" s="185" t="str">
        <f t="shared" si="32"/>
        <v/>
      </c>
      <c r="P50" s="185" t="str">
        <f t="shared" si="32"/>
        <v/>
      </c>
      <c r="Q50" s="238"/>
      <c r="R50" s="240"/>
      <c r="S50" s="242"/>
      <c r="T50" s="244"/>
      <c r="U50" s="3"/>
      <c r="V50" s="167"/>
      <c r="W50" s="172"/>
      <c r="X50" s="173"/>
      <c r="Y50" s="168"/>
      <c r="Z50" s="174"/>
    </row>
    <row r="51" spans="2:37" ht="79.8" customHeight="1" thickBot="1">
      <c r="B51" s="221" t="s">
        <v>81</v>
      </c>
      <c r="C51" s="222"/>
      <c r="D51" s="223"/>
      <c r="E51" s="402">
        <f>-SUM(ROUNDUP(E15/$D$15,0), ROUNDUP(E17/$D$17,0), ROUNDUP(E19/$D$19,0), ROUNDUP(E21/$D$21,0), ROUNDUP(E23/$D$23,0), ROUNDUP(E25/$D$25,0), ROUNDUP(E27/$D$27,0), ROUNDUP(E29/$D$29,0), ROUNDUP(E31/$D$31,0), ROUNDUP(E33/$D$33,0), ROUNDUP(E35/$D$35,0), ROUNDUP(E37/$D$37,0), ROUNDUP(E39/$D$39,0), ROUNDUP(E41/$D$41,0), ROUNDUP(E43/$D$43,0), ROUNDUP(E45/$D$45,0), ROUNDUP(E47/$D$47,0), ROUNDUP(E49/$D$49,0))</f>
        <v>0</v>
      </c>
      <c r="F51" s="402">
        <f t="shared" ref="F51:P51" si="33">-SUM(ROUNDUP(F15/$D$15,0), ROUNDUP(F17/$D$17,0), ROUNDUP(F19/$D$19,0), ROUNDUP(F21/$D$21,0), ROUNDUP(F23/$D$23,0), ROUNDUP(F25/$D$25,0), ROUNDUP(F27/$D$27,0), ROUNDUP(F29/$D$29,0), ROUNDUP(F31/$D$31,0), ROUNDUP(F33/$D$33,0), ROUNDUP(F35/$D$35,0), ROUNDUP(F37/$D$37,0), ROUNDUP(F39/$D$39,0), ROUNDUP(F41/$D$41,0), ROUNDUP(F43/$D$43,0), ROUNDUP(F45/$D$45,0), ROUNDUP(F47/$D$47,0), ROUNDUP(F49/$D$49,0))</f>
        <v>0</v>
      </c>
      <c r="G51" s="402">
        <f t="shared" si="33"/>
        <v>0</v>
      </c>
      <c r="H51" s="402">
        <f t="shared" si="33"/>
        <v>0</v>
      </c>
      <c r="I51" s="402">
        <f t="shared" si="33"/>
        <v>0</v>
      </c>
      <c r="J51" s="402">
        <f t="shared" si="33"/>
        <v>0</v>
      </c>
      <c r="K51" s="402">
        <f t="shared" si="33"/>
        <v>0</v>
      </c>
      <c r="L51" s="402">
        <f t="shared" si="33"/>
        <v>0</v>
      </c>
      <c r="M51" s="402">
        <f t="shared" si="33"/>
        <v>0</v>
      </c>
      <c r="N51" s="402">
        <f t="shared" si="33"/>
        <v>0</v>
      </c>
      <c r="O51" s="402">
        <f t="shared" si="33"/>
        <v>0</v>
      </c>
      <c r="P51" s="402">
        <f t="shared" si="33"/>
        <v>0</v>
      </c>
      <c r="Q51" s="179"/>
      <c r="R51" s="180">
        <f>SUM(R15:R50)</f>
        <v>0</v>
      </c>
      <c r="S51" s="145"/>
      <c r="T51" s="146"/>
      <c r="U51" s="3"/>
      <c r="V51" s="175"/>
      <c r="W51" s="176"/>
      <c r="X51" s="177"/>
      <c r="Y51" s="178"/>
      <c r="Z51" s="177"/>
    </row>
    <row r="52" spans="2:37" ht="22.8" customHeight="1" thickBot="1"/>
    <row r="53" spans="2:37" ht="64.8" customHeight="1" thickBot="1">
      <c r="B53" s="224" t="s">
        <v>49</v>
      </c>
      <c r="C53" s="225"/>
      <c r="D53" s="224" t="s">
        <v>53</v>
      </c>
      <c r="E53" s="225"/>
      <c r="F53" s="224" t="s">
        <v>54</v>
      </c>
      <c r="G53" s="225"/>
      <c r="H53" s="224" t="s">
        <v>71</v>
      </c>
      <c r="I53" s="225"/>
      <c r="J53" s="226" t="s">
        <v>88</v>
      </c>
      <c r="K53" s="227"/>
      <c r="L53" s="227"/>
      <c r="M53" s="227"/>
      <c r="N53" s="227"/>
      <c r="O53" s="227"/>
      <c r="P53" s="227"/>
      <c r="Q53" s="228">
        <f>SUM(R51)</f>
        <v>0</v>
      </c>
      <c r="R53" s="230" t="s">
        <v>89</v>
      </c>
      <c r="T53" s="31"/>
      <c r="U53" s="3"/>
    </row>
    <row r="54" spans="2:37" ht="64.8" customHeight="1">
      <c r="B54" s="231" t="s">
        <v>72</v>
      </c>
      <c r="C54" s="232"/>
      <c r="D54" s="233"/>
      <c r="E54" s="234"/>
      <c r="F54" s="233"/>
      <c r="G54" s="234"/>
      <c r="H54" s="233"/>
      <c r="I54" s="234"/>
      <c r="J54" s="226"/>
      <c r="K54" s="227"/>
      <c r="L54" s="227"/>
      <c r="M54" s="227"/>
      <c r="N54" s="227"/>
      <c r="O54" s="227"/>
      <c r="P54" s="227"/>
      <c r="Q54" s="229"/>
      <c r="R54" s="230"/>
      <c r="T54" s="31"/>
      <c r="U54" s="3"/>
    </row>
    <row r="55" spans="2:37" ht="73.8" customHeight="1" thickBot="1">
      <c r="B55" s="212" t="s">
        <v>74</v>
      </c>
      <c r="C55" s="213"/>
      <c r="D55" s="214"/>
      <c r="E55" s="215"/>
      <c r="F55" s="214"/>
      <c r="G55" s="215"/>
      <c r="H55" s="214"/>
      <c r="I55" s="215"/>
      <c r="K55" s="194" t="s">
        <v>73</v>
      </c>
      <c r="M55" s="52"/>
      <c r="N55" s="195"/>
      <c r="O55" s="195"/>
      <c r="P55" s="195"/>
      <c r="Q55" s="195"/>
      <c r="R55" s="195"/>
      <c r="T55" s="31"/>
      <c r="U55" s="3"/>
    </row>
    <row r="56" spans="2:37" ht="64.8" customHeight="1" thickBot="1">
      <c r="B56" s="216" t="s">
        <v>76</v>
      </c>
      <c r="C56" s="217"/>
      <c r="D56" s="218"/>
      <c r="E56" s="219"/>
      <c r="F56" s="218"/>
      <c r="G56" s="219"/>
      <c r="H56" s="218"/>
      <c r="I56" s="219"/>
      <c r="K56" s="39" t="s">
        <v>75</v>
      </c>
      <c r="L56" s="39" t="s">
        <v>59</v>
      </c>
      <c r="M56" s="69"/>
      <c r="N56" s="194" t="s">
        <v>77</v>
      </c>
      <c r="O56" s="69"/>
      <c r="P56" s="90"/>
      <c r="Q56" s="196"/>
      <c r="R56" s="68"/>
      <c r="S56" s="31"/>
      <c r="T56" s="3"/>
      <c r="U56" s="162"/>
      <c r="Z56" s="3"/>
    </row>
    <row r="57" spans="2:37" ht="64.8" customHeight="1" thickBot="1">
      <c r="D57" s="52"/>
      <c r="E57" s="41"/>
      <c r="F57" s="41"/>
      <c r="G57" s="69"/>
      <c r="H57" s="69"/>
      <c r="I57" s="41"/>
      <c r="K57" s="39"/>
      <c r="L57" s="39"/>
      <c r="M57" s="41"/>
      <c r="N57" s="69"/>
      <c r="O57" s="69"/>
      <c r="P57" s="69"/>
      <c r="Q57" s="41"/>
      <c r="R57" s="3"/>
      <c r="S57" s="31"/>
      <c r="T57" s="3"/>
      <c r="U57" s="162"/>
      <c r="Z57" s="3"/>
    </row>
    <row r="58" spans="2:37" ht="64.8" customHeight="1"/>
    <row r="59" spans="2:37" ht="64.8" customHeight="1"/>
    <row r="63" spans="2:37" ht="15" customHeight="1"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</row>
    <row r="64" spans="2:37" ht="15" customHeight="1">
      <c r="E64" s="210"/>
      <c r="F64" s="220" t="s">
        <v>148</v>
      </c>
      <c r="G64" s="220"/>
      <c r="H64" s="220"/>
      <c r="I64" s="220"/>
      <c r="J64" s="220"/>
      <c r="K64" s="220"/>
      <c r="L64" s="220"/>
      <c r="M64" s="220"/>
      <c r="N64" s="220"/>
      <c r="O64" s="220"/>
      <c r="P64" s="210"/>
    </row>
    <row r="65" spans="2:37" ht="71.400000000000006" customHeight="1" thickBot="1">
      <c r="B65" s="250" t="s">
        <v>150</v>
      </c>
      <c r="C65" s="250"/>
      <c r="D65" s="250"/>
      <c r="E65" s="21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10"/>
      <c r="Q65" s="153"/>
      <c r="R65" s="153"/>
      <c r="U65" s="3"/>
      <c r="AA65" s="30"/>
    </row>
    <row r="66" spans="2:37" ht="3" hidden="1" customHeight="1">
      <c r="B66" s="251"/>
      <c r="C66" s="251"/>
      <c r="D66" s="251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2"/>
      <c r="T66" s="104"/>
      <c r="U66" s="29"/>
      <c r="W66" s="252"/>
      <c r="X66" s="253"/>
      <c r="Y66" s="253"/>
      <c r="Z66" s="253"/>
      <c r="AA66" s="254"/>
    </row>
    <row r="67" spans="2:37" ht="58.8" customHeight="1" thickBot="1">
      <c r="B67" s="255" t="s">
        <v>90</v>
      </c>
      <c r="C67" s="256"/>
      <c r="D67" s="261" t="s">
        <v>39</v>
      </c>
      <c r="E67" s="264" t="s">
        <v>98</v>
      </c>
      <c r="F67" s="265"/>
      <c r="G67" s="266" t="s">
        <v>99</v>
      </c>
      <c r="H67" s="267"/>
      <c r="I67" s="268" t="s">
        <v>100</v>
      </c>
      <c r="J67" s="269"/>
      <c r="K67" s="270" t="s">
        <v>101</v>
      </c>
      <c r="L67" s="271"/>
      <c r="M67" s="272"/>
      <c r="N67" s="273" t="s">
        <v>102</v>
      </c>
      <c r="O67" s="274"/>
      <c r="P67" s="275"/>
      <c r="Q67" s="276" t="s">
        <v>68</v>
      </c>
      <c r="R67" s="277"/>
      <c r="S67" s="280" t="s">
        <v>78</v>
      </c>
      <c r="T67" s="283" t="s">
        <v>79</v>
      </c>
      <c r="U67" s="3"/>
      <c r="V67" s="286" t="s">
        <v>82</v>
      </c>
      <c r="W67" s="288" t="s">
        <v>83</v>
      </c>
      <c r="X67" s="290" t="s">
        <v>85</v>
      </c>
      <c r="Y67" s="288" t="s">
        <v>84</v>
      </c>
      <c r="Z67" s="292" t="s">
        <v>86</v>
      </c>
    </row>
    <row r="68" spans="2:37" ht="60.6" customHeight="1" thickBot="1">
      <c r="B68" s="257"/>
      <c r="C68" s="258"/>
      <c r="D68" s="262"/>
      <c r="E68" s="294" t="s">
        <v>93</v>
      </c>
      <c r="F68" s="295"/>
      <c r="G68" s="296" t="s">
        <v>94</v>
      </c>
      <c r="H68" s="297"/>
      <c r="I68" s="298" t="s">
        <v>95</v>
      </c>
      <c r="J68" s="299"/>
      <c r="K68" s="300" t="s">
        <v>96</v>
      </c>
      <c r="L68" s="301"/>
      <c r="M68" s="302"/>
      <c r="N68" s="303" t="s">
        <v>97</v>
      </c>
      <c r="O68" s="304"/>
      <c r="P68" s="305"/>
      <c r="Q68" s="278"/>
      <c r="R68" s="279"/>
      <c r="S68" s="281"/>
      <c r="T68" s="284"/>
      <c r="U68" s="3"/>
      <c r="V68" s="287"/>
      <c r="W68" s="289"/>
      <c r="X68" s="291"/>
      <c r="Y68" s="289"/>
      <c r="Z68" s="293"/>
    </row>
    <row r="69" spans="2:37" ht="75" customHeight="1" thickBot="1">
      <c r="B69" s="259"/>
      <c r="C69" s="260"/>
      <c r="D69" s="263"/>
      <c r="E69" s="197" t="s">
        <v>0</v>
      </c>
      <c r="F69" s="198" t="s">
        <v>69</v>
      </c>
      <c r="G69" s="199" t="s">
        <v>0</v>
      </c>
      <c r="H69" s="200" t="s">
        <v>69</v>
      </c>
      <c r="I69" s="201" t="s">
        <v>0</v>
      </c>
      <c r="J69" s="202" t="s">
        <v>69</v>
      </c>
      <c r="K69" s="203" t="s">
        <v>0</v>
      </c>
      <c r="L69" s="204" t="s">
        <v>69</v>
      </c>
      <c r="M69" s="203" t="s">
        <v>25</v>
      </c>
      <c r="N69" s="205" t="s">
        <v>0</v>
      </c>
      <c r="O69" s="205" t="s">
        <v>1</v>
      </c>
      <c r="P69" s="206" t="s">
        <v>25</v>
      </c>
      <c r="Q69" s="207" t="s">
        <v>80</v>
      </c>
      <c r="R69" s="208" t="s">
        <v>70</v>
      </c>
      <c r="S69" s="282"/>
      <c r="T69" s="285"/>
      <c r="U69" s="3"/>
      <c r="V69" s="163"/>
      <c r="W69" s="164"/>
      <c r="X69" s="165"/>
      <c r="Y69" s="164"/>
      <c r="Z69" s="166"/>
      <c r="AK69" s="44">
        <v>32</v>
      </c>
    </row>
    <row r="70" spans="2:37" ht="61.8" customHeight="1" thickBot="1">
      <c r="B70" s="248">
        <v>1</v>
      </c>
      <c r="C70" s="155" t="s">
        <v>103</v>
      </c>
      <c r="D70" s="245">
        <v>36</v>
      </c>
      <c r="E70" s="182"/>
      <c r="F70" s="183"/>
      <c r="G70" s="183"/>
      <c r="H70" s="183"/>
      <c r="I70" s="183">
        <v>22</v>
      </c>
      <c r="J70" s="183">
        <v>15</v>
      </c>
      <c r="K70" s="183">
        <v>1</v>
      </c>
      <c r="L70" s="183">
        <v>30</v>
      </c>
      <c r="M70" s="183">
        <v>23</v>
      </c>
      <c r="N70" s="183">
        <v>15</v>
      </c>
      <c r="O70" s="184">
        <v>16</v>
      </c>
      <c r="P70" s="184">
        <v>0</v>
      </c>
      <c r="Q70" s="237">
        <f>SUM(E70:P70)</f>
        <v>122</v>
      </c>
      <c r="R70" s="239">
        <v>7</v>
      </c>
      <c r="S70" s="241">
        <v>250</v>
      </c>
      <c r="T70" s="243">
        <f>SUM(S70-Q70)</f>
        <v>128</v>
      </c>
      <c r="U70" s="3"/>
      <c r="V70" s="167">
        <f>SUM(E70,F70)</f>
        <v>0</v>
      </c>
      <c r="W70" s="168">
        <f>SUM(G70,H70)</f>
        <v>0</v>
      </c>
      <c r="X70" s="169">
        <f>SUM(I70,J70)</f>
        <v>37</v>
      </c>
      <c r="Y70" s="168">
        <f>SUM(K70,L70,M70,)</f>
        <v>54</v>
      </c>
      <c r="Z70" s="170">
        <f>SUM(N70,O70,P70)</f>
        <v>31</v>
      </c>
      <c r="AK70" s="45" t="str">
        <f t="shared" ref="AK70" si="34">IF(AK69=0, "", IF(MOD(AK69, $D$15) = 0, AK69 / $D$15, IF(INT(AK69 / $D$15) = 0, MOD(AK69, $D$15) &amp; " P", INT(AK69 / $D$15) &amp; " + " &amp; MOD(AK69, $D$15) &amp; " P")))</f>
        <v>32 P</v>
      </c>
    </row>
    <row r="71" spans="2:37" ht="61.8" customHeight="1" thickBot="1">
      <c r="B71" s="249"/>
      <c r="C71" s="159" t="s">
        <v>106</v>
      </c>
      <c r="D71" s="246"/>
      <c r="E71" s="185" t="str">
        <f t="shared" ref="E71:P71" si="35">IF(E70=0, "", IF(MOD(E70, $D$15) = 0, E70 / $D$15, IF(INT(E70 / $D$15) = 0, MOD(E70, $D$15) &amp; " P", INT(E70 / $D$15) &amp; " + " &amp; MOD(E70, $D$15) &amp; " P")))</f>
        <v/>
      </c>
      <c r="F71" s="185" t="str">
        <f t="shared" si="35"/>
        <v/>
      </c>
      <c r="G71" s="185" t="str">
        <f t="shared" si="35"/>
        <v/>
      </c>
      <c r="H71" s="185" t="str">
        <f t="shared" si="35"/>
        <v/>
      </c>
      <c r="I71" s="185" t="str">
        <f t="shared" si="35"/>
        <v>22 P</v>
      </c>
      <c r="J71" s="185" t="str">
        <f t="shared" si="35"/>
        <v>15 P</v>
      </c>
      <c r="K71" s="185" t="str">
        <f t="shared" si="35"/>
        <v>1 P</v>
      </c>
      <c r="L71" s="185" t="str">
        <f t="shared" si="35"/>
        <v>30 P</v>
      </c>
      <c r="M71" s="185" t="str">
        <f t="shared" si="35"/>
        <v>23 P</v>
      </c>
      <c r="N71" s="185" t="str">
        <f t="shared" si="35"/>
        <v>15 P</v>
      </c>
      <c r="O71" s="185" t="str">
        <f t="shared" si="35"/>
        <v>16 P</v>
      </c>
      <c r="P71" s="185" t="str">
        <f t="shared" si="35"/>
        <v/>
      </c>
      <c r="Q71" s="238"/>
      <c r="R71" s="240"/>
      <c r="S71" s="242"/>
      <c r="T71" s="244"/>
      <c r="U71" s="3"/>
      <c r="V71" s="171"/>
      <c r="W71" s="172"/>
      <c r="X71" s="173"/>
      <c r="Y71" s="168"/>
      <c r="Z71" s="174"/>
      <c r="AK71" s="49">
        <v>129</v>
      </c>
    </row>
    <row r="72" spans="2:37" ht="61.8" customHeight="1" thickBot="1">
      <c r="B72" s="248">
        <v>2</v>
      </c>
      <c r="C72" s="156" t="s">
        <v>61</v>
      </c>
      <c r="D72" s="248">
        <v>32</v>
      </c>
      <c r="E72" s="182"/>
      <c r="F72" s="183"/>
      <c r="G72" s="183"/>
      <c r="H72" s="183"/>
      <c r="I72" s="186">
        <v>44</v>
      </c>
      <c r="J72" s="186">
        <v>48</v>
      </c>
      <c r="K72" s="186">
        <v>8</v>
      </c>
      <c r="L72" s="183">
        <v>96</v>
      </c>
      <c r="M72" s="183">
        <v>120</v>
      </c>
      <c r="N72" s="183">
        <v>10</v>
      </c>
      <c r="O72" s="184">
        <v>23</v>
      </c>
      <c r="P72" s="184">
        <v>1</v>
      </c>
      <c r="Q72" s="237">
        <f>SUM(E72:P72)</f>
        <v>350</v>
      </c>
      <c r="R72" s="239">
        <v>15</v>
      </c>
      <c r="S72" s="241">
        <v>650</v>
      </c>
      <c r="T72" s="243">
        <f>SUM(S72-Q72)</f>
        <v>300</v>
      </c>
      <c r="U72" s="3"/>
      <c r="V72" s="167">
        <f>SUM(E72,F72)</f>
        <v>0</v>
      </c>
      <c r="W72" s="172">
        <f>SUM(G72,H72)</f>
        <v>0</v>
      </c>
      <c r="X72" s="173">
        <f>SUM(I72,J72)</f>
        <v>92</v>
      </c>
      <c r="Y72" s="168">
        <f>SUM(K72,L72,M72,)</f>
        <v>224</v>
      </c>
      <c r="Z72" s="170">
        <f>SUM(N72,O72,P72)</f>
        <v>34</v>
      </c>
      <c r="AK72" s="50" t="str">
        <f t="shared" ref="AK72" si="36">IF(AK71=0, "", IF(MOD(AK71, $D$17) = 0, AK71 / $D$17, IF(INT(AK71 / $D$17) = 0, MOD(AK71, $D$17) &amp; " P", INT(AK71 / $D$17) &amp; " + " &amp; MOD(AK71, $D$17) &amp; " P")))</f>
        <v>4 + 1 P</v>
      </c>
    </row>
    <row r="73" spans="2:37" ht="61.8" customHeight="1" thickBot="1">
      <c r="B73" s="249"/>
      <c r="C73" s="160" t="s">
        <v>110</v>
      </c>
      <c r="D73" s="249"/>
      <c r="E73" s="185" t="str">
        <f>IF(E72=0, "", IF(MOD(E72, $D$17) = 0, E72 / $D$17, IF(INT(E72 / $D$17) = 0, MOD(E72, $D$17) &amp; " P", INT(E72 / $D$17) &amp; " + " &amp; MOD(E72, $D$17) &amp; " P")))</f>
        <v/>
      </c>
      <c r="F73" s="185" t="str">
        <f t="shared" ref="F73:P73" si="37">IF(F72=0, "", IF(MOD(F72, $D$17) = 0, F72 / $D$17, IF(INT(F72 / $D$17) = 0, MOD(F72, $D$17) &amp; " P", INT(F72 / $D$17) &amp; " + " &amp; MOD(F72, $D$17) &amp; " P")))</f>
        <v/>
      </c>
      <c r="G73" s="185" t="str">
        <f t="shared" si="37"/>
        <v/>
      </c>
      <c r="H73" s="185" t="str">
        <f t="shared" si="37"/>
        <v/>
      </c>
      <c r="I73" s="185" t="str">
        <f t="shared" si="37"/>
        <v>1 + 12 P</v>
      </c>
      <c r="J73" s="185" t="str">
        <f t="shared" si="37"/>
        <v>1 + 16 P</v>
      </c>
      <c r="K73" s="185" t="str">
        <f t="shared" si="37"/>
        <v>8 P</v>
      </c>
      <c r="L73" s="185">
        <f t="shared" si="37"/>
        <v>3</v>
      </c>
      <c r="M73" s="185" t="str">
        <f t="shared" si="37"/>
        <v>3 + 24 P</v>
      </c>
      <c r="N73" s="185" t="str">
        <f t="shared" si="37"/>
        <v>10 P</v>
      </c>
      <c r="O73" s="185" t="str">
        <f t="shared" si="37"/>
        <v>23 P</v>
      </c>
      <c r="P73" s="185" t="str">
        <f t="shared" si="37"/>
        <v>1 P</v>
      </c>
      <c r="Q73" s="238"/>
      <c r="R73" s="240"/>
      <c r="S73" s="242"/>
      <c r="T73" s="244"/>
      <c r="U73" s="3"/>
      <c r="V73" s="171"/>
      <c r="W73" s="172"/>
      <c r="X73" s="173"/>
      <c r="Y73" s="168"/>
      <c r="Z73" s="174"/>
      <c r="AK73" s="51">
        <v>54</v>
      </c>
    </row>
    <row r="74" spans="2:37" ht="61.8" customHeight="1" thickBot="1">
      <c r="B74" s="248">
        <v>3</v>
      </c>
      <c r="C74" s="156" t="s">
        <v>141</v>
      </c>
      <c r="D74" s="248">
        <v>14</v>
      </c>
      <c r="E74" s="182"/>
      <c r="F74" s="182"/>
      <c r="G74" s="182"/>
      <c r="H74" s="182"/>
      <c r="I74" s="182">
        <v>8</v>
      </c>
      <c r="J74" s="182">
        <v>8</v>
      </c>
      <c r="K74" s="182">
        <v>0</v>
      </c>
      <c r="L74" s="182">
        <v>14</v>
      </c>
      <c r="M74" s="182">
        <v>17</v>
      </c>
      <c r="N74" s="182">
        <v>4</v>
      </c>
      <c r="O74" s="182">
        <v>8</v>
      </c>
      <c r="P74" s="182">
        <v>0</v>
      </c>
      <c r="Q74" s="237">
        <f>SUM(E74:P74)</f>
        <v>59</v>
      </c>
      <c r="R74" s="239">
        <v>7</v>
      </c>
      <c r="S74" s="241">
        <v>190</v>
      </c>
      <c r="T74" s="243">
        <f>SUM(S74-Q74)</f>
        <v>131</v>
      </c>
      <c r="U74" s="3"/>
      <c r="V74" s="171">
        <f>SUM(E74,F74)</f>
        <v>0</v>
      </c>
      <c r="W74" s="172">
        <f>SUM(G74,H74)</f>
        <v>0</v>
      </c>
      <c r="X74" s="173">
        <f>SUM(I74,J74)</f>
        <v>16</v>
      </c>
      <c r="Y74" s="168">
        <f>SUM(K74,L74,M74,)</f>
        <v>31</v>
      </c>
      <c r="Z74" s="170">
        <f>SUM(N74,O74,P74)</f>
        <v>12</v>
      </c>
      <c r="AK74" s="50" t="e">
        <f>IF(#REF!=0, "", IF(MOD(#REF!, $D$19) = 0,#REF!/ $D$19, IF(INT(#REF! / $D$19) = 0, MOD(#REF!, $D$19) &amp; " P", INT(#REF! / $D$19) &amp; " + " &amp; MOD(#REF!, $D$19) &amp; " P")))</f>
        <v>#REF!</v>
      </c>
    </row>
    <row r="75" spans="2:37" ht="61.8" customHeight="1" thickBot="1">
      <c r="B75" s="249"/>
      <c r="C75" s="160" t="s">
        <v>143</v>
      </c>
      <c r="D75" s="249"/>
      <c r="E75" s="185"/>
      <c r="F75" s="185"/>
      <c r="G75" s="185"/>
      <c r="H75" s="185"/>
      <c r="I75" s="185" t="str">
        <f t="shared" ref="I75:P75" si="38">IF(I74=0, "", IF(MOD(I74, $D$19) = 0, I74/ $D$19, IF(INT(I74 / $D$19) = 0, MOD(I74, $D$19) &amp; " P", INT(I74 / $D$19) &amp; " + " &amp; MOD(I74, $D$19) &amp; " P")))</f>
        <v>8 P</v>
      </c>
      <c r="J75" s="185" t="str">
        <f t="shared" si="38"/>
        <v>8 P</v>
      </c>
      <c r="K75" s="185" t="str">
        <f t="shared" si="38"/>
        <v/>
      </c>
      <c r="L75" s="185">
        <f t="shared" si="38"/>
        <v>1</v>
      </c>
      <c r="M75" s="185" t="str">
        <f t="shared" si="38"/>
        <v>1 + 3 P</v>
      </c>
      <c r="N75" s="185" t="str">
        <f t="shared" si="38"/>
        <v>4 P</v>
      </c>
      <c r="O75" s="185" t="str">
        <f t="shared" si="38"/>
        <v>8 P</v>
      </c>
      <c r="P75" s="185" t="str">
        <f t="shared" si="38"/>
        <v/>
      </c>
      <c r="Q75" s="238"/>
      <c r="R75" s="240"/>
      <c r="S75" s="242"/>
      <c r="T75" s="244"/>
      <c r="U75" s="3"/>
      <c r="V75" s="171"/>
      <c r="W75" s="172"/>
      <c r="X75" s="173"/>
      <c r="Y75" s="168"/>
      <c r="Z75" s="174"/>
      <c r="AK75" s="47">
        <v>227</v>
      </c>
    </row>
    <row r="76" spans="2:37" ht="61.8" customHeight="1" thickBot="1">
      <c r="B76" s="192">
        <v>4</v>
      </c>
      <c r="C76" s="156" t="s">
        <v>140</v>
      </c>
      <c r="D76" s="248">
        <v>14</v>
      </c>
      <c r="E76" s="182"/>
      <c r="F76" s="182"/>
      <c r="G76" s="182"/>
      <c r="H76" s="182"/>
      <c r="I76" s="182">
        <v>11</v>
      </c>
      <c r="J76" s="182">
        <v>16</v>
      </c>
      <c r="K76" s="182">
        <v>0</v>
      </c>
      <c r="L76" s="182">
        <v>13</v>
      </c>
      <c r="M76" s="182">
        <v>32</v>
      </c>
      <c r="N76" s="182">
        <v>6</v>
      </c>
      <c r="O76" s="182">
        <v>8</v>
      </c>
      <c r="P76" s="182">
        <v>0</v>
      </c>
      <c r="Q76" s="237">
        <f>SUM(E76:P76)</f>
        <v>86</v>
      </c>
      <c r="R76" s="239">
        <v>9</v>
      </c>
      <c r="S76" s="241">
        <v>200</v>
      </c>
      <c r="T76" s="243">
        <f>SUM(S76-Q76)</f>
        <v>114</v>
      </c>
      <c r="U76" s="3"/>
      <c r="V76" s="171">
        <f>SUM(E76,F76)</f>
        <v>0</v>
      </c>
      <c r="W76" s="172">
        <f>SUM(G76,H76)</f>
        <v>0</v>
      </c>
      <c r="X76" s="173">
        <f>SUM(I76,J76)</f>
        <v>27</v>
      </c>
      <c r="Y76" s="168">
        <f>SUM(K76,L76,M76,)</f>
        <v>45</v>
      </c>
      <c r="Z76" s="170">
        <f>SUM(N76,O76,P76)</f>
        <v>14</v>
      </c>
      <c r="AK76" s="48" t="str">
        <f t="shared" ref="AK76" si="39">IF(AK75=0, "", IF(MOD(AK75, $D$21) = 0, AK75/ $D$21, IF(INT(AK75 / $D$21) = 0, MOD(AK75, $D$21) &amp; " P", INT(AK75 / $D$21) &amp; " + " &amp; MOD(AK75, $D$21) &amp; " P")))</f>
        <v>16 + 3 P</v>
      </c>
    </row>
    <row r="77" spans="2:37" ht="61.8" customHeight="1" thickBot="1">
      <c r="B77" s="193"/>
      <c r="C77" s="160" t="s">
        <v>142</v>
      </c>
      <c r="D77" s="249"/>
      <c r="E77" s="185" t="str">
        <f>IF(E76=0, "", IF(MOD(E76, $D$21) = 0, E76/ $D$21, IF(INT(E76 / $D$21) = 0, MOD(E76, $D$21) &amp; " P", INT(E76 / $D$21) &amp; " + " &amp; MOD(E76, $D$21) &amp; " P")))</f>
        <v/>
      </c>
      <c r="F77" s="185" t="str">
        <f t="shared" ref="F77:P77" si="40">IF(F76=0, "", IF(MOD(F76, $D$21) = 0, F76/ $D$21, IF(INT(F76 / $D$21) = 0, MOD(F76, $D$21) &amp; " P", INT(F76 / $D$21) &amp; " + " &amp; MOD(F76, $D$21) &amp; " P")))</f>
        <v/>
      </c>
      <c r="G77" s="185" t="str">
        <f t="shared" si="40"/>
        <v/>
      </c>
      <c r="H77" s="185" t="str">
        <f t="shared" si="40"/>
        <v/>
      </c>
      <c r="I77" s="185" t="str">
        <f t="shared" si="40"/>
        <v>11 P</v>
      </c>
      <c r="J77" s="185" t="str">
        <f t="shared" si="40"/>
        <v>1 + 2 P</v>
      </c>
      <c r="K77" s="185" t="str">
        <f t="shared" si="40"/>
        <v/>
      </c>
      <c r="L77" s="185" t="str">
        <f t="shared" si="40"/>
        <v>13 P</v>
      </c>
      <c r="M77" s="185" t="str">
        <f t="shared" si="40"/>
        <v>2 + 4 P</v>
      </c>
      <c r="N77" s="185" t="str">
        <f t="shared" si="40"/>
        <v>6 P</v>
      </c>
      <c r="O77" s="185" t="str">
        <f t="shared" si="40"/>
        <v>8 P</v>
      </c>
      <c r="P77" s="185" t="str">
        <f t="shared" si="40"/>
        <v/>
      </c>
      <c r="Q77" s="238"/>
      <c r="R77" s="240"/>
      <c r="S77" s="242"/>
      <c r="T77" s="244"/>
      <c r="U77" s="3"/>
      <c r="V77" s="171"/>
      <c r="W77" s="172"/>
      <c r="X77" s="173"/>
      <c r="Y77" s="168"/>
      <c r="Z77" s="174"/>
      <c r="AK77" s="49">
        <v>25</v>
      </c>
    </row>
    <row r="78" spans="2:37" ht="61.8" customHeight="1" thickBot="1">
      <c r="B78" s="192">
        <v>5</v>
      </c>
      <c r="C78" s="156" t="s">
        <v>62</v>
      </c>
      <c r="D78" s="248">
        <v>32</v>
      </c>
      <c r="E78" s="182"/>
      <c r="F78" s="183"/>
      <c r="G78" s="183"/>
      <c r="H78" s="183"/>
      <c r="I78" s="183">
        <v>13</v>
      </c>
      <c r="J78" s="183">
        <v>13</v>
      </c>
      <c r="K78" s="183">
        <v>6</v>
      </c>
      <c r="L78" s="183">
        <v>36</v>
      </c>
      <c r="M78" s="183">
        <v>44</v>
      </c>
      <c r="N78" s="183">
        <v>4</v>
      </c>
      <c r="O78" s="184">
        <v>11</v>
      </c>
      <c r="P78" s="184">
        <v>0</v>
      </c>
      <c r="Q78" s="237">
        <f>SUM(E78:P78)</f>
        <v>127</v>
      </c>
      <c r="R78" s="239">
        <v>9</v>
      </c>
      <c r="S78" s="241">
        <v>300</v>
      </c>
      <c r="T78" s="243">
        <f>SUM(S78-Q78)</f>
        <v>173</v>
      </c>
      <c r="U78" s="3"/>
      <c r="V78" s="171">
        <f>SUM(E78,F78)</f>
        <v>0</v>
      </c>
      <c r="W78" s="172">
        <f>SUM(G78,H78)</f>
        <v>0</v>
      </c>
      <c r="X78" s="173">
        <f>SUM(I78,J78)</f>
        <v>26</v>
      </c>
      <c r="Y78" s="168">
        <f>SUM(K78,L78,M78,)</f>
        <v>86</v>
      </c>
      <c r="Z78" s="170">
        <f>SUM(N78,O78,P78)</f>
        <v>15</v>
      </c>
      <c r="AK78" s="50" t="str">
        <f t="shared" ref="AK78" si="41">IF(AK77=0, "", IF(MOD(AK77, $D$23) = 0, AK77/ $D$23, IF(INT(AK77 / $D$23) = 0, MOD(AK77, $D$23) &amp; " P", INT(AK77 / $D$23) &amp; " + " &amp; MOD(AK77, $D$23) &amp; " P")))</f>
        <v>25 P</v>
      </c>
    </row>
    <row r="79" spans="2:37" ht="61.8" customHeight="1" thickBot="1">
      <c r="B79" s="193"/>
      <c r="C79" s="160" t="s">
        <v>111</v>
      </c>
      <c r="D79" s="249"/>
      <c r="E79" s="185" t="str">
        <f t="shared" ref="E79:P79" si="42">IF(E78=0, "", IF(MOD(E78, $D$23) = 0, E78/ $D$23, IF(INT(E78 / $D$23) = 0, MOD(E78, $D$23) &amp; " P", INT(E78 / $D$23) &amp; " + " &amp; MOD(E78, $D$23) &amp; " P")))</f>
        <v/>
      </c>
      <c r="F79" s="185" t="str">
        <f t="shared" si="42"/>
        <v/>
      </c>
      <c r="G79" s="185" t="str">
        <f t="shared" si="42"/>
        <v/>
      </c>
      <c r="H79" s="185" t="str">
        <f t="shared" si="42"/>
        <v/>
      </c>
      <c r="I79" s="185" t="str">
        <f t="shared" si="42"/>
        <v>13 P</v>
      </c>
      <c r="J79" s="185" t="str">
        <f t="shared" si="42"/>
        <v>13 P</v>
      </c>
      <c r="K79" s="185" t="str">
        <f t="shared" si="42"/>
        <v>6 P</v>
      </c>
      <c r="L79" s="185" t="str">
        <f t="shared" si="42"/>
        <v>1 + 4 P</v>
      </c>
      <c r="M79" s="185" t="str">
        <f t="shared" si="42"/>
        <v>1 + 12 P</v>
      </c>
      <c r="N79" s="185" t="str">
        <f t="shared" si="42"/>
        <v>4 P</v>
      </c>
      <c r="O79" s="185" t="str">
        <f t="shared" si="42"/>
        <v>11 P</v>
      </c>
      <c r="P79" s="185" t="str">
        <f t="shared" si="42"/>
        <v/>
      </c>
      <c r="Q79" s="238"/>
      <c r="R79" s="240"/>
      <c r="S79" s="242"/>
      <c r="T79" s="244"/>
      <c r="U79" s="3"/>
      <c r="V79" s="171"/>
      <c r="W79" s="172"/>
      <c r="X79" s="173"/>
      <c r="Y79" s="168"/>
      <c r="Z79" s="174"/>
      <c r="AK79" s="49">
        <v>2</v>
      </c>
    </row>
    <row r="80" spans="2:37" ht="61.8" customHeight="1" thickBot="1">
      <c r="B80" s="192">
        <v>6</v>
      </c>
      <c r="C80" s="157" t="s">
        <v>137</v>
      </c>
      <c r="D80" s="248">
        <v>27</v>
      </c>
      <c r="E80" s="182"/>
      <c r="F80" s="183"/>
      <c r="G80" s="183"/>
      <c r="H80" s="183"/>
      <c r="I80" s="183">
        <v>8</v>
      </c>
      <c r="J80" s="183">
        <v>3</v>
      </c>
      <c r="K80" s="183">
        <v>0</v>
      </c>
      <c r="L80" s="183">
        <v>25</v>
      </c>
      <c r="M80" s="183">
        <v>50</v>
      </c>
      <c r="N80" s="183">
        <v>17</v>
      </c>
      <c r="O80" s="184">
        <v>13</v>
      </c>
      <c r="P80" s="184">
        <v>0</v>
      </c>
      <c r="Q80" s="237">
        <f>SUM(E80:P80)</f>
        <v>116</v>
      </c>
      <c r="R80" s="239">
        <v>7</v>
      </c>
      <c r="S80" s="241">
        <v>320</v>
      </c>
      <c r="T80" s="243">
        <f>SUM(S80-Q80)</f>
        <v>204</v>
      </c>
      <c r="U80" s="3"/>
      <c r="V80" s="167">
        <f>SUM(E80,F80)</f>
        <v>0</v>
      </c>
      <c r="W80" s="172">
        <f>SUM(G80,H80)</f>
        <v>0</v>
      </c>
      <c r="X80" s="173">
        <f>SUM(I80,J80)</f>
        <v>11</v>
      </c>
      <c r="Y80" s="168">
        <f>SUM(K80,L80,M80,)</f>
        <v>75</v>
      </c>
      <c r="Z80" s="170">
        <f>SUM(N80,O80,P80)</f>
        <v>30</v>
      </c>
      <c r="AK80" s="50" t="str">
        <f t="shared" ref="AK80" si="43">IF(AK79=0, "", IF(MOD(AK79, $D$25) = 0, AK79/ $D$25, IF(INT(AK79 / $D$25) = 0, MOD(AK79, $D$25) &amp; " P", INT(AK79 / $D$25) &amp; " + " &amp; MOD(AK79, $D$25) &amp; " P")))</f>
        <v>2 P</v>
      </c>
    </row>
    <row r="81" spans="2:37" ht="61.8" customHeight="1" thickBot="1">
      <c r="B81" s="193"/>
      <c r="C81" s="160" t="s">
        <v>138</v>
      </c>
      <c r="D81" s="249"/>
      <c r="E81" s="185" t="str">
        <f t="shared" ref="E81:P81" si="44">IF(E80=0, "", IF(MOD(E80, $D$25) = 0, E80/ $D$25, IF(INT(E80 / $D$25) = 0, MOD(E80, $D$25) &amp; " P", INT(E80 / $D$25) &amp; " + " &amp; MOD(E80, $D$25) &amp; " P")))</f>
        <v/>
      </c>
      <c r="F81" s="185" t="str">
        <f t="shared" si="44"/>
        <v/>
      </c>
      <c r="G81" s="185" t="str">
        <f t="shared" si="44"/>
        <v/>
      </c>
      <c r="H81" s="185" t="str">
        <f t="shared" si="44"/>
        <v/>
      </c>
      <c r="I81" s="185" t="str">
        <f t="shared" si="44"/>
        <v>8 P</v>
      </c>
      <c r="J81" s="185" t="str">
        <f t="shared" si="44"/>
        <v>3 P</v>
      </c>
      <c r="K81" s="185" t="str">
        <f t="shared" si="44"/>
        <v/>
      </c>
      <c r="L81" s="185" t="str">
        <f t="shared" si="44"/>
        <v>25 P</v>
      </c>
      <c r="M81" s="185" t="str">
        <f t="shared" si="44"/>
        <v>1 + 23 P</v>
      </c>
      <c r="N81" s="185" t="str">
        <f t="shared" si="44"/>
        <v>17 P</v>
      </c>
      <c r="O81" s="185" t="str">
        <f t="shared" si="44"/>
        <v>13 P</v>
      </c>
      <c r="P81" s="185" t="str">
        <f t="shared" si="44"/>
        <v/>
      </c>
      <c r="Q81" s="238"/>
      <c r="R81" s="240"/>
      <c r="S81" s="242"/>
      <c r="T81" s="244"/>
      <c r="U81" s="3"/>
      <c r="V81" s="167"/>
      <c r="W81" s="172"/>
      <c r="X81" s="173"/>
      <c r="Y81" s="168"/>
      <c r="Z81" s="174"/>
      <c r="AK81" s="51">
        <v>74</v>
      </c>
    </row>
    <row r="82" spans="2:37" ht="61.8" customHeight="1" thickBot="1">
      <c r="B82" s="192">
        <v>7</v>
      </c>
      <c r="C82" s="158" t="s">
        <v>63</v>
      </c>
      <c r="D82" s="235">
        <v>36</v>
      </c>
      <c r="E82" s="187"/>
      <c r="F82" s="188"/>
      <c r="G82" s="188"/>
      <c r="H82" s="188"/>
      <c r="I82" s="188">
        <v>40</v>
      </c>
      <c r="J82" s="188">
        <v>6</v>
      </c>
      <c r="K82" s="188">
        <v>4</v>
      </c>
      <c r="L82" s="188">
        <v>125</v>
      </c>
      <c r="M82" s="188">
        <v>183</v>
      </c>
      <c r="N82" s="188">
        <v>13</v>
      </c>
      <c r="O82" s="190">
        <v>21</v>
      </c>
      <c r="P82" s="190">
        <v>0</v>
      </c>
      <c r="Q82" s="237">
        <f>SUM(E82:P82)</f>
        <v>392</v>
      </c>
      <c r="R82" s="239">
        <v>16</v>
      </c>
      <c r="S82" s="241">
        <v>610</v>
      </c>
      <c r="T82" s="243">
        <f>SUM(S82-Q82)</f>
        <v>218</v>
      </c>
      <c r="U82" s="3"/>
      <c r="V82" s="167">
        <f>SUM(E82,F82)</f>
        <v>0</v>
      </c>
      <c r="W82" s="168">
        <f>SUM(G82,H82)</f>
        <v>0</v>
      </c>
      <c r="X82" s="169">
        <f>SUM(I82,J82)</f>
        <v>46</v>
      </c>
      <c r="Y82" s="168">
        <f>SUM(K82,L82,M82,)</f>
        <v>312</v>
      </c>
      <c r="Z82" s="170">
        <f>SUM(N82,O82,P82)</f>
        <v>34</v>
      </c>
      <c r="AK82" s="45" t="str">
        <f>IF(AK81=0, "", IF(MOD(AK81, $D$27) = 0, AK81/ $D$27, IF(INT(AK81 / $D$27) = 0, MOD(AK81, $D$27) &amp; " P", INT(AK81 / $D$27) &amp; " + " &amp; MOD(AK81, $D$27) &amp; " P")))</f>
        <v>2 + 2 P</v>
      </c>
    </row>
    <row r="83" spans="2:37" ht="61.8" customHeight="1" thickBot="1">
      <c r="B83" s="193"/>
      <c r="C83" s="160" t="s">
        <v>113</v>
      </c>
      <c r="D83" s="236"/>
      <c r="E83" s="185" t="str">
        <f t="shared" ref="E83:P83" si="45">IF(E82=0, "", IF(MOD(E82, $D$27) = 0, E82/ $D$27, IF(INT(E82 / $D$27) = 0, MOD(E82, $D$27) &amp; " P", INT(E82 / $D$27) &amp; " + " &amp; MOD(E82, $D$27) &amp; " P")))</f>
        <v/>
      </c>
      <c r="F83" s="185" t="str">
        <f t="shared" si="45"/>
        <v/>
      </c>
      <c r="G83" s="185" t="str">
        <f t="shared" si="45"/>
        <v/>
      </c>
      <c r="H83" s="185" t="str">
        <f t="shared" si="45"/>
        <v/>
      </c>
      <c r="I83" s="185" t="str">
        <f t="shared" si="45"/>
        <v>1 + 4 P</v>
      </c>
      <c r="J83" s="185" t="str">
        <f t="shared" si="45"/>
        <v>6 P</v>
      </c>
      <c r="K83" s="185" t="str">
        <f t="shared" si="45"/>
        <v>4 P</v>
      </c>
      <c r="L83" s="185" t="str">
        <f t="shared" si="45"/>
        <v>3 + 17 P</v>
      </c>
      <c r="M83" s="185" t="str">
        <f t="shared" si="45"/>
        <v>5 + 3 P</v>
      </c>
      <c r="N83" s="185" t="str">
        <f t="shared" si="45"/>
        <v>13 P</v>
      </c>
      <c r="O83" s="185" t="str">
        <f t="shared" si="45"/>
        <v>21 P</v>
      </c>
      <c r="P83" s="185" t="str">
        <f t="shared" si="45"/>
        <v/>
      </c>
      <c r="Q83" s="238"/>
      <c r="R83" s="240"/>
      <c r="S83" s="242"/>
      <c r="T83" s="244"/>
      <c r="U83" s="3"/>
      <c r="V83" s="167"/>
      <c r="W83" s="172"/>
      <c r="X83" s="173"/>
      <c r="Y83" s="168"/>
      <c r="Z83" s="174"/>
      <c r="AK83" s="46">
        <v>34</v>
      </c>
    </row>
    <row r="84" spans="2:37" ht="61.8" customHeight="1" thickBot="1">
      <c r="B84" s="192">
        <v>8</v>
      </c>
      <c r="C84" s="156" t="s">
        <v>104</v>
      </c>
      <c r="D84" s="235">
        <v>20</v>
      </c>
      <c r="E84" s="187"/>
      <c r="F84" s="189"/>
      <c r="G84" s="188"/>
      <c r="H84" s="188"/>
      <c r="I84" s="188">
        <v>6</v>
      </c>
      <c r="J84" s="188">
        <v>5</v>
      </c>
      <c r="K84" s="188">
        <v>1</v>
      </c>
      <c r="L84" s="188">
        <v>33</v>
      </c>
      <c r="M84" s="188">
        <v>24</v>
      </c>
      <c r="N84" s="188">
        <v>2</v>
      </c>
      <c r="O84" s="190">
        <v>9</v>
      </c>
      <c r="P84" s="190">
        <v>0</v>
      </c>
      <c r="Q84" s="237">
        <f>SUM(E84:P84)</f>
        <v>80</v>
      </c>
      <c r="R84" s="247">
        <v>9</v>
      </c>
      <c r="S84" s="241">
        <v>160</v>
      </c>
      <c r="T84" s="243">
        <f>SUM(S84-Q84)</f>
        <v>80</v>
      </c>
      <c r="U84" s="3"/>
      <c r="V84" s="167">
        <f>SUM(E84,F84)</f>
        <v>0</v>
      </c>
      <c r="W84" s="168">
        <f>SUM(G84,H84)</f>
        <v>0</v>
      </c>
      <c r="X84" s="169">
        <f>SUM(I84,J84)</f>
        <v>11</v>
      </c>
      <c r="Y84" s="168">
        <f>SUM(K84,L84,M84,)</f>
        <v>58</v>
      </c>
      <c r="Z84" s="170">
        <f>SUM(N84,O84,P84)</f>
        <v>11</v>
      </c>
      <c r="AK84" s="45" t="str">
        <f t="shared" ref="AK84:AK86" si="46">IF(AK83=0, "", IF(MOD(AK83, $D$29) = 0, AK83/ $D$29, IF(INT(AK83 / $D$29) = 0, MOD(AK83, $D$29) &amp; " P", INT(AK83 / $D$29) &amp; " + " &amp; MOD(AK83, $D$29) &amp; " P")))</f>
        <v>1 + 14 P</v>
      </c>
    </row>
    <row r="85" spans="2:37" ht="61.8" customHeight="1" thickBot="1">
      <c r="B85" s="193"/>
      <c r="C85" s="161" t="s">
        <v>107</v>
      </c>
      <c r="D85" s="236"/>
      <c r="E85" s="185" t="str">
        <f>IF(E84=0, "", IF(MOD(E84, $D$29) = 0, E84/ $D$29, IF(INT(E84 / $D$29) = 0, MOD(E84, $D$29) &amp; " P", INT(E84 / $D$29) &amp; " + " &amp; MOD(E84, $D$29) &amp; " P")))</f>
        <v/>
      </c>
      <c r="F85" s="185" t="str">
        <f t="shared" ref="F85:P85" si="47">IF(F84=0, "", IF(MOD(F84, $D$29) = 0, F84/ $D$29, IF(INT(F84 / $D$29) = 0, MOD(F84, $D$29) &amp; " P", INT(F84 / $D$29) &amp; " + " &amp; MOD(F84, $D$29) &amp; " P")))</f>
        <v/>
      </c>
      <c r="G85" s="185" t="str">
        <f t="shared" si="47"/>
        <v/>
      </c>
      <c r="H85" s="185" t="str">
        <f t="shared" si="47"/>
        <v/>
      </c>
      <c r="I85" s="185" t="str">
        <f t="shared" si="47"/>
        <v>6 P</v>
      </c>
      <c r="J85" s="185" t="str">
        <f t="shared" si="47"/>
        <v>5 P</v>
      </c>
      <c r="K85" s="185" t="str">
        <f t="shared" si="47"/>
        <v>1 P</v>
      </c>
      <c r="L85" s="185" t="str">
        <f t="shared" si="47"/>
        <v>1 + 13 P</v>
      </c>
      <c r="M85" s="185" t="str">
        <f t="shared" si="47"/>
        <v>1 + 4 P</v>
      </c>
      <c r="N85" s="185" t="str">
        <f t="shared" si="47"/>
        <v>2 P</v>
      </c>
      <c r="O85" s="185" t="str">
        <f t="shared" si="47"/>
        <v>9 P</v>
      </c>
      <c r="P85" s="185" t="str">
        <f t="shared" si="47"/>
        <v/>
      </c>
      <c r="Q85" s="238"/>
      <c r="R85" s="240"/>
      <c r="S85" s="242"/>
      <c r="T85" s="244"/>
      <c r="U85" s="3"/>
      <c r="V85" s="167"/>
      <c r="W85" s="172"/>
      <c r="X85" s="173"/>
      <c r="Y85" s="168"/>
      <c r="Z85" s="174"/>
      <c r="AK85" s="46">
        <v>33</v>
      </c>
    </row>
    <row r="86" spans="2:37" ht="61.8" customHeight="1" thickBot="1">
      <c r="B86" s="192">
        <v>9</v>
      </c>
      <c r="C86" s="158" t="s">
        <v>128</v>
      </c>
      <c r="D86" s="235">
        <v>15</v>
      </c>
      <c r="E86" s="187"/>
      <c r="F86" s="188"/>
      <c r="G86" s="188"/>
      <c r="H86" s="188"/>
      <c r="I86" s="188">
        <v>8</v>
      </c>
      <c r="J86" s="188">
        <v>0</v>
      </c>
      <c r="K86" s="188">
        <v>3</v>
      </c>
      <c r="L86" s="188">
        <v>13</v>
      </c>
      <c r="M86" s="188">
        <v>33</v>
      </c>
      <c r="N86" s="188">
        <v>3</v>
      </c>
      <c r="O86" s="190">
        <v>7</v>
      </c>
      <c r="P86" s="190">
        <v>0</v>
      </c>
      <c r="Q86" s="237">
        <f>SUM(E86:P86)</f>
        <v>67</v>
      </c>
      <c r="R86" s="247">
        <v>8</v>
      </c>
      <c r="S86" s="241">
        <v>150</v>
      </c>
      <c r="T86" s="243">
        <f>SUM(S86-Q86)</f>
        <v>83</v>
      </c>
      <c r="U86" s="3"/>
      <c r="V86" s="167">
        <f>SUM(E86,F86)</f>
        <v>0</v>
      </c>
      <c r="W86" s="168">
        <f>SUM(G86,H86)</f>
        <v>0</v>
      </c>
      <c r="X86" s="169">
        <f>SUM(I86,J86)</f>
        <v>8</v>
      </c>
      <c r="Y86" s="168">
        <f>SUM(K86,L86,M86,)</f>
        <v>49</v>
      </c>
      <c r="Z86" s="170">
        <f>SUM(N86,O86,P86)</f>
        <v>10</v>
      </c>
      <c r="AK86" s="45" t="str">
        <f t="shared" si="46"/>
        <v>1 + 13 P</v>
      </c>
    </row>
    <row r="87" spans="2:37" ht="61.8" customHeight="1" thickBot="1">
      <c r="B87" s="193"/>
      <c r="C87" s="160" t="s">
        <v>129</v>
      </c>
      <c r="D87" s="236"/>
      <c r="E87" s="185" t="str">
        <f>IF(E86=0, "", IF(MOD(E86, $D$31) = 0, E86/ $D$31, IF(INT(E86 / $D$31) = 0, MOD(E86, $D$31) &amp; " P", INT(E86 / $D$31) &amp; " + " &amp; MOD(E86, $D$31) &amp; " P")))</f>
        <v/>
      </c>
      <c r="F87" s="185" t="str">
        <f t="shared" ref="F87:P87" si="48">IF(F86=0, "", IF(MOD(F86, $D$31) = 0, F86/ $D$31, IF(INT(F86 / $D$31) = 0, MOD(F86, $D$31) &amp; " P", INT(F86 / $D$31) &amp; " + " &amp; MOD(F86, $D$31) &amp; " P")))</f>
        <v/>
      </c>
      <c r="G87" s="185" t="str">
        <f t="shared" si="48"/>
        <v/>
      </c>
      <c r="H87" s="185" t="str">
        <f t="shared" si="48"/>
        <v/>
      </c>
      <c r="I87" s="185" t="str">
        <f t="shared" si="48"/>
        <v>8 P</v>
      </c>
      <c r="J87" s="185" t="str">
        <f t="shared" si="48"/>
        <v/>
      </c>
      <c r="K87" s="185" t="str">
        <f t="shared" si="48"/>
        <v>3 P</v>
      </c>
      <c r="L87" s="185" t="str">
        <f t="shared" si="48"/>
        <v>13 P</v>
      </c>
      <c r="M87" s="185" t="str">
        <f t="shared" si="48"/>
        <v>2 + 3 P</v>
      </c>
      <c r="N87" s="185" t="str">
        <f t="shared" si="48"/>
        <v>3 P</v>
      </c>
      <c r="O87" s="185" t="str">
        <f t="shared" si="48"/>
        <v>7 P</v>
      </c>
      <c r="P87" s="185" t="str">
        <f t="shared" si="48"/>
        <v/>
      </c>
      <c r="Q87" s="238"/>
      <c r="R87" s="240"/>
      <c r="S87" s="242"/>
      <c r="T87" s="244"/>
      <c r="U87" s="3"/>
      <c r="V87" s="167"/>
      <c r="W87" s="172"/>
      <c r="X87" s="173"/>
      <c r="Y87" s="168"/>
      <c r="Z87" s="174"/>
      <c r="AK87" s="46">
        <v>33</v>
      </c>
    </row>
    <row r="88" spans="2:37" ht="61.8" customHeight="1" thickBot="1">
      <c r="B88" s="192">
        <v>10</v>
      </c>
      <c r="C88" s="158" t="s">
        <v>64</v>
      </c>
      <c r="D88" s="235">
        <v>45</v>
      </c>
      <c r="E88" s="187"/>
      <c r="F88" s="188"/>
      <c r="G88" s="188"/>
      <c r="H88" s="188"/>
      <c r="I88" s="188">
        <v>2</v>
      </c>
      <c r="J88" s="188">
        <v>0</v>
      </c>
      <c r="K88" s="188">
        <v>0</v>
      </c>
      <c r="L88" s="188">
        <v>2</v>
      </c>
      <c r="M88" s="189">
        <v>12</v>
      </c>
      <c r="N88" s="189">
        <v>0</v>
      </c>
      <c r="O88" s="191">
        <v>3</v>
      </c>
      <c r="P88" s="191">
        <v>0</v>
      </c>
      <c r="Q88" s="237">
        <f>SUM(E88:P88)</f>
        <v>19</v>
      </c>
      <c r="R88" s="239">
        <v>4</v>
      </c>
      <c r="S88" s="241">
        <v>50</v>
      </c>
      <c r="T88" s="243">
        <f t="shared" ref="T88" si="49">SUM(S88-Q88)</f>
        <v>31</v>
      </c>
      <c r="U88" s="3"/>
      <c r="V88" s="167">
        <f>SUM(E88,F88)</f>
        <v>0</v>
      </c>
      <c r="W88" s="168">
        <f>SUM(G88,H88)</f>
        <v>0</v>
      </c>
      <c r="X88" s="169">
        <f>SUM(I88,J88)</f>
        <v>2</v>
      </c>
      <c r="Y88" s="168">
        <f>SUM(K88,L88,M88,)</f>
        <v>14</v>
      </c>
      <c r="Z88" s="170">
        <f>SUM(N88,O88,P88)</f>
        <v>3</v>
      </c>
      <c r="AK88" s="45" t="str">
        <f>IF(AK83=0, "", IF(MOD(AK83, $D$35) = 0, AK83/ $D$35, IF(INT(AK83 / $D$35) = 0, MOD(AK83, $D$35) &amp; " P", INT(AK83 / $D$35) &amp; " + " &amp; MOD(AK83, $D$35) &amp; " P")))</f>
        <v>2 + 4 P</v>
      </c>
    </row>
    <row r="89" spans="2:37" ht="61.8" customHeight="1" thickBot="1">
      <c r="B89" s="193"/>
      <c r="C89" s="161" t="s">
        <v>114</v>
      </c>
      <c r="D89" s="236"/>
      <c r="E89" s="185" t="str">
        <f>IF(E88=0, "", IF(MOD(E88, $D$33) = 0, E88/ $D$33, IF(INT(E88 / $D$33) = 0, MOD(E88, $D$33) &amp; " P", INT(E88 / $D$33) &amp; " + " &amp; MOD(E88, $D$33) &amp; " P")))</f>
        <v/>
      </c>
      <c r="F89" s="185" t="str">
        <f t="shared" ref="F89:L89" si="50">IF(F88=0, "", IF(MOD(F88, $D$33) = 0, F88/ $D$33, IF(INT(F88 / $D$33) = 0, MOD(F88, $D$33) &amp; " P", INT(F88 / $D$33) &amp; " + " &amp; MOD(F88, $D$33) &amp; " P")))</f>
        <v/>
      </c>
      <c r="G89" s="185" t="str">
        <f t="shared" si="50"/>
        <v/>
      </c>
      <c r="H89" s="185" t="str">
        <f t="shared" si="50"/>
        <v/>
      </c>
      <c r="I89" s="185" t="str">
        <f t="shared" si="50"/>
        <v>2 P</v>
      </c>
      <c r="J89" s="185" t="str">
        <f t="shared" si="50"/>
        <v/>
      </c>
      <c r="K89" s="185" t="str">
        <f t="shared" si="50"/>
        <v/>
      </c>
      <c r="L89" s="185" t="str">
        <f t="shared" si="50"/>
        <v>2 P</v>
      </c>
      <c r="M89" s="185" t="str">
        <f>IF(M88=0, "", IF(MOD(M88, $D$33) = 0, M88/ $D$33, IF(INT(M88 / $D$33) = 0, MOD(M88, $D$33) &amp; " P", INT(M88 / $D$33) &amp; " + " &amp; MOD(M88, $D$33) &amp; " P")))</f>
        <v>12 P</v>
      </c>
      <c r="N89" s="185" t="str">
        <f>IF(N88=0, "", IF(MOD(N88, $D$33) = 0, N88/ $D$33, IF(INT(N88 / $D$33) = 0, MOD(N88, $D$33) &amp; " P", INT(N88 / $D$33) &amp; " + " &amp; MOD(N88, $D$33) &amp; " P")))</f>
        <v/>
      </c>
      <c r="O89" s="185" t="str">
        <f t="shared" ref="O89:P89" si="51">IF(O88=0, "", IF(MOD(O88, $D$33) = 0, O88/ $D$33, IF(INT(O88 / $D$33) = 0, MOD(O88, $D$33) &amp; " P", INT(O88 / $D$33) &amp; " + " &amp; MOD(O88, $D$33) &amp; " P")))</f>
        <v>3 P</v>
      </c>
      <c r="P89" s="185" t="str">
        <f t="shared" si="51"/>
        <v/>
      </c>
      <c r="Q89" s="238"/>
      <c r="R89" s="240"/>
      <c r="S89" s="242"/>
      <c r="T89" s="244"/>
      <c r="U89" s="3"/>
      <c r="V89" s="167"/>
      <c r="W89" s="172"/>
      <c r="X89" s="173"/>
      <c r="Y89" s="168"/>
      <c r="Z89" s="174"/>
    </row>
    <row r="90" spans="2:37" ht="61.8" customHeight="1" thickBot="1">
      <c r="B90" s="192">
        <v>11</v>
      </c>
      <c r="C90" s="158" t="s">
        <v>132</v>
      </c>
      <c r="D90" s="235">
        <v>15</v>
      </c>
      <c r="E90" s="182"/>
      <c r="F90" s="182"/>
      <c r="G90" s="182"/>
      <c r="H90" s="182"/>
      <c r="I90" s="182">
        <v>9</v>
      </c>
      <c r="J90" s="182">
        <v>3</v>
      </c>
      <c r="K90" s="182">
        <v>0</v>
      </c>
      <c r="L90" s="182">
        <v>17</v>
      </c>
      <c r="M90" s="182">
        <v>34</v>
      </c>
      <c r="N90" s="182">
        <v>4</v>
      </c>
      <c r="O90" s="182">
        <v>6</v>
      </c>
      <c r="P90" s="182">
        <v>0</v>
      </c>
      <c r="Q90" s="237">
        <f>SUM(E90:P90)</f>
        <v>73</v>
      </c>
      <c r="R90" s="239">
        <v>9</v>
      </c>
      <c r="S90" s="241">
        <v>110</v>
      </c>
      <c r="T90" s="243">
        <f t="shared" ref="T90" si="52">SUM(S90-Q90)</f>
        <v>37</v>
      </c>
      <c r="U90" s="3"/>
      <c r="V90" s="167">
        <f>SUM(E90,F90)</f>
        <v>0</v>
      </c>
      <c r="W90" s="168">
        <f>SUM(G90,H90)</f>
        <v>0</v>
      </c>
      <c r="X90" s="169">
        <f>SUM(I90,J90)</f>
        <v>12</v>
      </c>
      <c r="Y90" s="168">
        <f>SUM(K90,L90,M90,)</f>
        <v>51</v>
      </c>
      <c r="Z90" s="170">
        <f>SUM(N90,O90,P90)</f>
        <v>10</v>
      </c>
      <c r="AK90" s="45" t="str">
        <f>IF(AK85=0, "", IF(MOD(AK85, $D$35) = 0, AK85/ $D$35, IF(INT(AK85 / $D$35) = 0, MOD(AK85, $D$35) &amp; " P", INT(AK85 / $D$35) &amp; " + " &amp; MOD(AK85, $D$35) &amp; " P")))</f>
        <v>2 + 3 P</v>
      </c>
    </row>
    <row r="91" spans="2:37" ht="61.8" customHeight="1" thickBot="1">
      <c r="B91" s="193"/>
      <c r="C91" s="161" t="s">
        <v>133</v>
      </c>
      <c r="D91" s="236"/>
      <c r="E91" s="185" t="str">
        <f>IF(E90=0, "", IF(MOD(E90, $D$35) = 0, E90/ $D$35, IF(INT(E90 / $D$35) = 0, MOD(E90, $D$35) &amp; " P", INT(E90 / $D$35) &amp; " + " &amp; MOD(E90, $D$35) &amp; " P")))</f>
        <v/>
      </c>
      <c r="F91" s="185" t="str">
        <f t="shared" ref="F91:P91" si="53">IF(F90=0, "", IF(MOD(F90, $D$35) = 0, F90/ $D$35, IF(INT(F90 / $D$35) = 0, MOD(F90, $D$35) &amp; " P", INT(F90 / $D$35) &amp; " + " &amp; MOD(F90, $D$35) &amp; " P")))</f>
        <v/>
      </c>
      <c r="G91" s="185" t="str">
        <f t="shared" si="53"/>
        <v/>
      </c>
      <c r="H91" s="185" t="str">
        <f t="shared" si="53"/>
        <v/>
      </c>
      <c r="I91" s="185" t="str">
        <f t="shared" si="53"/>
        <v>9 P</v>
      </c>
      <c r="J91" s="185" t="str">
        <f t="shared" si="53"/>
        <v>3 P</v>
      </c>
      <c r="K91" s="185" t="str">
        <f t="shared" si="53"/>
        <v/>
      </c>
      <c r="L91" s="185" t="str">
        <f t="shared" si="53"/>
        <v>1 + 2 P</v>
      </c>
      <c r="M91" s="185" t="str">
        <f t="shared" si="53"/>
        <v>2 + 4 P</v>
      </c>
      <c r="N91" s="185" t="str">
        <f t="shared" si="53"/>
        <v>4 P</v>
      </c>
      <c r="O91" s="185" t="str">
        <f t="shared" si="53"/>
        <v>6 P</v>
      </c>
      <c r="P91" s="185" t="str">
        <f t="shared" si="53"/>
        <v/>
      </c>
      <c r="Q91" s="238"/>
      <c r="R91" s="240"/>
      <c r="S91" s="242"/>
      <c r="T91" s="244"/>
      <c r="U91" s="3"/>
      <c r="V91" s="167"/>
      <c r="W91" s="172"/>
      <c r="X91" s="173"/>
      <c r="Y91" s="168"/>
      <c r="Z91" s="174"/>
    </row>
    <row r="92" spans="2:37" ht="61.8" customHeight="1" thickBot="1">
      <c r="B92" s="192">
        <v>12</v>
      </c>
      <c r="C92" s="158" t="s">
        <v>147</v>
      </c>
      <c r="D92" s="235">
        <v>27</v>
      </c>
      <c r="E92" s="182"/>
      <c r="F92" s="182"/>
      <c r="G92" s="182"/>
      <c r="H92" s="182"/>
      <c r="I92" s="182">
        <v>0</v>
      </c>
      <c r="J92" s="182">
        <v>0</v>
      </c>
      <c r="K92" s="182">
        <v>0</v>
      </c>
      <c r="L92" s="182">
        <v>0</v>
      </c>
      <c r="M92" s="182">
        <v>0</v>
      </c>
      <c r="N92" s="182">
        <v>690</v>
      </c>
      <c r="O92" s="182">
        <v>734</v>
      </c>
      <c r="P92" s="182">
        <v>4</v>
      </c>
      <c r="Q92" s="237">
        <f>SUM(E92:P92)</f>
        <v>1428</v>
      </c>
      <c r="R92" s="239">
        <v>55</v>
      </c>
      <c r="S92" s="241">
        <v>3816</v>
      </c>
      <c r="T92" s="243">
        <f t="shared" ref="T92" si="54">SUM(S92-Q92)</f>
        <v>2388</v>
      </c>
      <c r="U92" s="3"/>
      <c r="V92" s="167">
        <f>SUM(E92,F92)</f>
        <v>0</v>
      </c>
      <c r="W92" s="168">
        <f>SUM(G92,H92)</f>
        <v>0</v>
      </c>
      <c r="X92" s="169">
        <f>SUM(I92,J92)</f>
        <v>0</v>
      </c>
      <c r="Y92" s="168">
        <f>SUM(K92,L92,M92,)</f>
        <v>0</v>
      </c>
      <c r="Z92" s="170">
        <f>SUM(N92,O92,P92)</f>
        <v>1428</v>
      </c>
      <c r="AK92" s="45" t="str">
        <f>IF(AK87=0, "", IF(MOD(AK87, $D$35) = 0, AK87/ $D$35, IF(INT(AK87 / $D$35) = 0, MOD(AK87, $D$35) &amp; " P", INT(AK87 / $D$35) &amp; " + " &amp; MOD(AK87, $D$35) &amp; " P")))</f>
        <v>2 + 3 P</v>
      </c>
    </row>
    <row r="93" spans="2:37" ht="61.8" customHeight="1" thickBot="1">
      <c r="B93" s="193"/>
      <c r="C93" s="161" t="s">
        <v>146</v>
      </c>
      <c r="D93" s="236"/>
      <c r="E93" s="185" t="str">
        <f>IF(E92=0, "", IF(MOD(E92, $D$37) = 0, E92/ $D$37, IF(INT(E92 / $D$37) = 0, MOD(E92, $D$37) &amp; " P", INT(E92 / $D$37) &amp; " + " &amp; MOD(E92, $D$37) &amp; " P")))</f>
        <v/>
      </c>
      <c r="F93" s="185" t="str">
        <f t="shared" ref="F93:P93" si="55">IF(F92=0, "", IF(MOD(F92, $D$37) = 0, F92/ $D$37, IF(INT(F92 / $D$37) = 0, MOD(F92, $D$37) &amp; " P", INT(F92 / $D$37) &amp; " + " &amp; MOD(F92, $D$37) &amp; " P")))</f>
        <v/>
      </c>
      <c r="G93" s="185" t="str">
        <f t="shared" si="55"/>
        <v/>
      </c>
      <c r="H93" s="185" t="str">
        <f t="shared" si="55"/>
        <v/>
      </c>
      <c r="I93" s="185" t="str">
        <f t="shared" si="55"/>
        <v/>
      </c>
      <c r="J93" s="185" t="str">
        <f t="shared" si="55"/>
        <v/>
      </c>
      <c r="K93" s="185" t="str">
        <f t="shared" si="55"/>
        <v/>
      </c>
      <c r="L93" s="185" t="str">
        <f t="shared" si="55"/>
        <v/>
      </c>
      <c r="M93" s="185" t="str">
        <f t="shared" si="55"/>
        <v/>
      </c>
      <c r="N93" s="185" t="str">
        <f t="shared" si="55"/>
        <v>25 + 15 P</v>
      </c>
      <c r="O93" s="185" t="str">
        <f t="shared" si="55"/>
        <v>27 + 5 P</v>
      </c>
      <c r="P93" s="185" t="str">
        <f t="shared" si="55"/>
        <v>4 P</v>
      </c>
      <c r="Q93" s="238"/>
      <c r="R93" s="240"/>
      <c r="S93" s="242"/>
      <c r="T93" s="244"/>
      <c r="U93" s="3"/>
      <c r="V93" s="167"/>
      <c r="W93" s="172"/>
      <c r="X93" s="173"/>
      <c r="Y93" s="168"/>
      <c r="Z93" s="174"/>
    </row>
    <row r="94" spans="2:37" ht="61.8" customHeight="1" thickBot="1">
      <c r="B94" s="192">
        <v>13</v>
      </c>
      <c r="C94" s="158" t="s">
        <v>109</v>
      </c>
      <c r="D94" s="235">
        <v>15</v>
      </c>
      <c r="E94" s="182"/>
      <c r="F94" s="182"/>
      <c r="G94" s="182"/>
      <c r="H94" s="182"/>
      <c r="I94" s="182">
        <v>3</v>
      </c>
      <c r="J94" s="182">
        <v>0</v>
      </c>
      <c r="K94" s="182">
        <v>0</v>
      </c>
      <c r="L94" s="182">
        <v>3</v>
      </c>
      <c r="M94" s="182">
        <v>14</v>
      </c>
      <c r="N94" s="182">
        <v>4</v>
      </c>
      <c r="O94" s="182">
        <v>2</v>
      </c>
      <c r="P94" s="182">
        <v>0</v>
      </c>
      <c r="Q94" s="237">
        <f>SUM(E94:P94)</f>
        <v>26</v>
      </c>
      <c r="R94" s="239">
        <v>5</v>
      </c>
      <c r="S94" s="241">
        <v>90</v>
      </c>
      <c r="T94" s="243">
        <f t="shared" ref="T94" si="56">SUM(S94-Q94)</f>
        <v>64</v>
      </c>
      <c r="U94" s="3"/>
      <c r="V94" s="167">
        <f>SUM(E94,F94)</f>
        <v>0</v>
      </c>
      <c r="W94" s="168">
        <f>SUM(G94,H94)</f>
        <v>0</v>
      </c>
      <c r="X94" s="169">
        <f>SUM(I94,J94)</f>
        <v>3</v>
      </c>
      <c r="Y94" s="168">
        <f>SUM(K94,L94,M94,)</f>
        <v>17</v>
      </c>
      <c r="Z94" s="170">
        <f>SUM(N94,O94,P94)</f>
        <v>6</v>
      </c>
      <c r="AK94" s="45" t="str">
        <f>IF(AK89=0, "", IF(MOD(AK89, $D$35) = 0, AK89/ $D$35, IF(INT(AK89 / $D$35) = 0, MOD(AK89, $D$35) &amp; " P", INT(AK89 / $D$35) &amp; " + " &amp; MOD(AK89, $D$35) &amp; " P")))</f>
        <v/>
      </c>
    </row>
    <row r="95" spans="2:37" ht="61.8" customHeight="1" thickBot="1">
      <c r="B95" s="193"/>
      <c r="C95" s="161" t="s">
        <v>118</v>
      </c>
      <c r="D95" s="236"/>
      <c r="E95" s="185" t="str">
        <f>IF(E94=0, "", IF(MOD(E94, $D$39) = 0, E94/ $D$39, IF(INT(E94 / $D$39) = 0, MOD(E94, $D$39) &amp; " P", INT(E94 / $D$39) &amp; " + " &amp; MOD(E94, $D$39) &amp; " P")))</f>
        <v/>
      </c>
      <c r="F95" s="185" t="str">
        <f t="shared" ref="F95:P95" si="57">IF(F94=0, "", IF(MOD(F94, $D$39) = 0, F94/ $D$39, IF(INT(F94 / $D$39) = 0, MOD(F94, $D$39) &amp; " P", INT(F94 / $D$39) &amp; " + " &amp; MOD(F94, $D$39) &amp; " P")))</f>
        <v/>
      </c>
      <c r="G95" s="185" t="str">
        <f t="shared" si="57"/>
        <v/>
      </c>
      <c r="H95" s="185" t="str">
        <f t="shared" si="57"/>
        <v/>
      </c>
      <c r="I95" s="185" t="str">
        <f t="shared" si="57"/>
        <v>3 P</v>
      </c>
      <c r="J95" s="185" t="str">
        <f t="shared" si="57"/>
        <v/>
      </c>
      <c r="K95" s="185" t="str">
        <f t="shared" si="57"/>
        <v/>
      </c>
      <c r="L95" s="185" t="str">
        <f t="shared" si="57"/>
        <v>3 P</v>
      </c>
      <c r="M95" s="185" t="str">
        <f t="shared" si="57"/>
        <v>14 P</v>
      </c>
      <c r="N95" s="185" t="str">
        <f t="shared" si="57"/>
        <v>4 P</v>
      </c>
      <c r="O95" s="185" t="str">
        <f t="shared" si="57"/>
        <v>2 P</v>
      </c>
      <c r="P95" s="185" t="str">
        <f t="shared" si="57"/>
        <v/>
      </c>
      <c r="Q95" s="238"/>
      <c r="R95" s="240"/>
      <c r="S95" s="242"/>
      <c r="T95" s="244"/>
      <c r="U95" s="3"/>
      <c r="V95" s="167"/>
      <c r="W95" s="172"/>
      <c r="X95" s="173"/>
      <c r="Y95" s="168"/>
      <c r="Z95" s="174"/>
    </row>
    <row r="96" spans="2:37" ht="61.8" customHeight="1" thickBot="1">
      <c r="B96" s="192">
        <v>14</v>
      </c>
      <c r="C96" s="158" t="s">
        <v>130</v>
      </c>
      <c r="D96" s="235">
        <v>27</v>
      </c>
      <c r="E96" s="182"/>
      <c r="F96" s="182"/>
      <c r="G96" s="182"/>
      <c r="H96" s="182"/>
      <c r="I96" s="182">
        <v>3</v>
      </c>
      <c r="J96" s="182">
        <v>8</v>
      </c>
      <c r="K96" s="182">
        <v>4</v>
      </c>
      <c r="L96" s="182">
        <v>15</v>
      </c>
      <c r="M96" s="182">
        <v>32</v>
      </c>
      <c r="N96" s="182">
        <v>16</v>
      </c>
      <c r="O96" s="182">
        <v>16</v>
      </c>
      <c r="P96" s="182">
        <v>0</v>
      </c>
      <c r="Q96" s="237">
        <f>SUM(E96:P96)</f>
        <v>94</v>
      </c>
      <c r="R96" s="239">
        <v>8</v>
      </c>
      <c r="S96" s="241">
        <v>250</v>
      </c>
      <c r="T96" s="243">
        <f t="shared" ref="T96" si="58">SUM(S96-Q96)</f>
        <v>156</v>
      </c>
      <c r="U96" s="3"/>
      <c r="V96" s="167">
        <f>SUM(E96,F96)</f>
        <v>0</v>
      </c>
      <c r="W96" s="168">
        <f>SUM(G96,H96)</f>
        <v>0</v>
      </c>
      <c r="X96" s="169">
        <f>SUM(I96,J96)</f>
        <v>11</v>
      </c>
      <c r="Y96" s="168">
        <f>SUM(K96,L96,M96,)</f>
        <v>51</v>
      </c>
      <c r="Z96" s="170">
        <f>SUM(N96,O96,P96)</f>
        <v>32</v>
      </c>
      <c r="AK96" s="45" t="str">
        <f>IF(AK91=0, "", IF(MOD(AK91, $D$35) = 0, AK91/ $D$35, IF(INT(AK91 / $D$35) = 0, MOD(AK91, $D$35) &amp; " P", INT(AK91 / $D$35) &amp; " + " &amp; MOD(AK91, $D$35) &amp; " P")))</f>
        <v/>
      </c>
    </row>
    <row r="97" spans="2:37" ht="61.8" customHeight="1" thickBot="1">
      <c r="B97" s="193"/>
      <c r="C97" s="161" t="s">
        <v>131</v>
      </c>
      <c r="D97" s="236"/>
      <c r="E97" s="185" t="str">
        <f>IF(E96=0, "", IF(MOD(E96, $D$41) = 0, E96/ $D$41, IF(INT(E96 / $D$41) = 0, MOD(E96, $D$41) &amp; " P", INT(E96 / $D$41) &amp; " + " &amp; MOD(E96, $D$41) &amp; " P")))</f>
        <v/>
      </c>
      <c r="F97" s="185" t="str">
        <f t="shared" ref="F97:P97" si="59">IF(F96=0, "", IF(MOD(F96, $D$41) = 0, F96/ $D$41, IF(INT(F96 / $D$41) = 0, MOD(F96, $D$41) &amp; " P", INT(F96 / $D$41) &amp; " + " &amp; MOD(F96, $D$41) &amp; " P")))</f>
        <v/>
      </c>
      <c r="G97" s="185" t="str">
        <f t="shared" si="59"/>
        <v/>
      </c>
      <c r="H97" s="185" t="str">
        <f t="shared" si="59"/>
        <v/>
      </c>
      <c r="I97" s="185" t="str">
        <f t="shared" si="59"/>
        <v>3 P</v>
      </c>
      <c r="J97" s="185" t="str">
        <f t="shared" si="59"/>
        <v>8 P</v>
      </c>
      <c r="K97" s="185" t="str">
        <f t="shared" si="59"/>
        <v>4 P</v>
      </c>
      <c r="L97" s="185" t="str">
        <f t="shared" si="59"/>
        <v>15 P</v>
      </c>
      <c r="M97" s="185" t="str">
        <f t="shared" si="59"/>
        <v>1 + 5 P</v>
      </c>
      <c r="N97" s="185" t="str">
        <f t="shared" si="59"/>
        <v>16 P</v>
      </c>
      <c r="O97" s="185" t="str">
        <f t="shared" si="59"/>
        <v>16 P</v>
      </c>
      <c r="P97" s="185" t="str">
        <f t="shared" si="59"/>
        <v/>
      </c>
      <c r="Q97" s="238"/>
      <c r="R97" s="240"/>
      <c r="S97" s="242"/>
      <c r="T97" s="244"/>
      <c r="U97" s="3"/>
      <c r="V97" s="167"/>
      <c r="W97" s="172"/>
      <c r="X97" s="173"/>
      <c r="Y97" s="168"/>
      <c r="Z97" s="174"/>
    </row>
    <row r="98" spans="2:37" ht="61.8" customHeight="1" thickBot="1">
      <c r="B98" s="192">
        <v>15</v>
      </c>
      <c r="C98" s="158" t="s">
        <v>65</v>
      </c>
      <c r="D98" s="235">
        <v>20</v>
      </c>
      <c r="E98" s="182"/>
      <c r="F98" s="182"/>
      <c r="G98" s="182"/>
      <c r="H98" s="182"/>
      <c r="I98" s="182">
        <v>21</v>
      </c>
      <c r="J98" s="182">
        <v>14</v>
      </c>
      <c r="K98" s="182">
        <v>2</v>
      </c>
      <c r="L98" s="182">
        <v>48</v>
      </c>
      <c r="M98" s="182">
        <v>78</v>
      </c>
      <c r="N98" s="182">
        <v>8</v>
      </c>
      <c r="O98" s="182">
        <v>10</v>
      </c>
      <c r="P98" s="182">
        <v>2</v>
      </c>
      <c r="Q98" s="237">
        <f>SUM(E98:P98)</f>
        <v>183</v>
      </c>
      <c r="R98" s="239">
        <v>14</v>
      </c>
      <c r="S98" s="241">
        <v>400</v>
      </c>
      <c r="T98" s="243">
        <f t="shared" ref="T98" si="60">SUM(S98-Q98)</f>
        <v>217</v>
      </c>
      <c r="U98" s="3"/>
      <c r="V98" s="167">
        <f>SUM(E98,F98)</f>
        <v>0</v>
      </c>
      <c r="W98" s="168">
        <f>SUM(G98,H98)</f>
        <v>0</v>
      </c>
      <c r="X98" s="169">
        <f>SUM(I98,J98)</f>
        <v>35</v>
      </c>
      <c r="Y98" s="168">
        <f>SUM(K98,L98,M98,)</f>
        <v>128</v>
      </c>
      <c r="Z98" s="170">
        <f>SUM(N98,O98,P98)</f>
        <v>20</v>
      </c>
      <c r="AK98" s="45" t="str">
        <f>IF(AK89=0, "", IF(MOD(AK89, $D$35) = 0, AK89/ $D$35, IF(INT(AK89 / $D$35) = 0, MOD(AK89, $D$35) &amp; " P", INT(AK89 / $D$35) &amp; " + " &amp; MOD(AK89, $D$35) &amp; " P")))</f>
        <v/>
      </c>
    </row>
    <row r="99" spans="2:37" ht="61.8" customHeight="1" thickBot="1">
      <c r="B99" s="193"/>
      <c r="C99" s="160" t="s">
        <v>115</v>
      </c>
      <c r="D99" s="236"/>
      <c r="E99" s="185" t="str">
        <f>IF(E98=0, "", IF(MOD(E98, $D$43) = 0, E98/ $D$43, IF(INT(E98 / $D$43) = 0, MOD(E98, $D$43) &amp; " P", INT(E98 / $D$43) &amp; " + " &amp; MOD(E98, $D$43) &amp; " P")))</f>
        <v/>
      </c>
      <c r="F99" s="185" t="str">
        <f t="shared" ref="F99:P99" si="61">IF(F98=0, "", IF(MOD(F98, $D$43) = 0, F98/ $D$43, IF(INT(F98 / $D$43) = 0, MOD(F98, $D$43) &amp; " P", INT(F98 / $D$43) &amp; " + " &amp; MOD(F98, $D$43) &amp; " P")))</f>
        <v/>
      </c>
      <c r="G99" s="185" t="str">
        <f t="shared" si="61"/>
        <v/>
      </c>
      <c r="H99" s="185" t="str">
        <f t="shared" si="61"/>
        <v/>
      </c>
      <c r="I99" s="185" t="str">
        <f t="shared" si="61"/>
        <v>1 + 1 P</v>
      </c>
      <c r="J99" s="185" t="str">
        <f t="shared" si="61"/>
        <v>14 P</v>
      </c>
      <c r="K99" s="185" t="str">
        <f t="shared" si="61"/>
        <v>2 P</v>
      </c>
      <c r="L99" s="185" t="str">
        <f t="shared" si="61"/>
        <v>2 + 8 P</v>
      </c>
      <c r="M99" s="185" t="str">
        <f t="shared" si="61"/>
        <v>3 + 18 P</v>
      </c>
      <c r="N99" s="185" t="str">
        <f t="shared" si="61"/>
        <v>8 P</v>
      </c>
      <c r="O99" s="185" t="str">
        <f t="shared" si="61"/>
        <v>10 P</v>
      </c>
      <c r="P99" s="185" t="str">
        <f t="shared" si="61"/>
        <v>2 P</v>
      </c>
      <c r="Q99" s="238"/>
      <c r="R99" s="240"/>
      <c r="S99" s="242"/>
      <c r="T99" s="244"/>
      <c r="U99" s="3"/>
      <c r="V99" s="167"/>
      <c r="W99" s="172"/>
      <c r="X99" s="173"/>
      <c r="Y99" s="168"/>
      <c r="Z99" s="174"/>
    </row>
    <row r="100" spans="2:37" ht="61.8" customHeight="1" thickBot="1">
      <c r="B100" s="192">
        <v>16</v>
      </c>
      <c r="C100" s="157" t="s">
        <v>66</v>
      </c>
      <c r="D100" s="235">
        <v>32</v>
      </c>
      <c r="E100" s="182"/>
      <c r="F100" s="182"/>
      <c r="G100" s="182"/>
      <c r="H100" s="182"/>
      <c r="I100" s="182">
        <v>8</v>
      </c>
      <c r="J100" s="182">
        <v>0</v>
      </c>
      <c r="K100" s="182">
        <v>2</v>
      </c>
      <c r="L100" s="182">
        <v>28</v>
      </c>
      <c r="M100" s="182">
        <v>42</v>
      </c>
      <c r="N100" s="182">
        <v>1</v>
      </c>
      <c r="O100" s="182">
        <v>3</v>
      </c>
      <c r="P100" s="182">
        <v>0</v>
      </c>
      <c r="Q100" s="237">
        <f>SUM(E100:P100)</f>
        <v>84</v>
      </c>
      <c r="R100" s="239">
        <v>7</v>
      </c>
      <c r="S100" s="241">
        <v>170</v>
      </c>
      <c r="T100" s="243">
        <f t="shared" ref="T100" si="62">SUM(S100-Q100)</f>
        <v>86</v>
      </c>
      <c r="U100" s="3"/>
      <c r="V100" s="167">
        <f>SUM(E100,F100)</f>
        <v>0</v>
      </c>
      <c r="W100" s="168">
        <f>SUM(G100,H100)</f>
        <v>0</v>
      </c>
      <c r="X100" s="169">
        <f>SUM(I100,J100)</f>
        <v>8</v>
      </c>
      <c r="Y100" s="168">
        <f>SUM(K100,L100,M100,)</f>
        <v>72</v>
      </c>
      <c r="Z100" s="170">
        <f>SUM(N100,O100,P100)</f>
        <v>4</v>
      </c>
      <c r="AK100" s="45" t="str">
        <f>IF(AK91=0, "", IF(MOD(AK91, $D$35) = 0, AK91/ $D$35, IF(INT(AK91 / $D$35) = 0, MOD(AK91, $D$35) &amp; " P", INT(AK91 / $D$35) &amp; " + " &amp; MOD(AK91, $D$35) &amp; " P")))</f>
        <v/>
      </c>
    </row>
    <row r="101" spans="2:37" ht="61.8" customHeight="1" thickBot="1">
      <c r="B101" s="193"/>
      <c r="C101" s="160" t="s">
        <v>116</v>
      </c>
      <c r="D101" s="236"/>
      <c r="E101" s="185" t="str">
        <f>IF(E100=0, "", IF(MOD(E100, $D$45) = 0, E100/ $D$45, IF(INT(E100 / $D$45) = 0, MOD(E100, $D$45) &amp; " P", INT(E100 / $D$45) &amp; " + " &amp; MOD(E100, $D$45) &amp; " P")))</f>
        <v/>
      </c>
      <c r="F101" s="185" t="str">
        <f t="shared" ref="F101:P101" si="63">IF(F100=0, "", IF(MOD(F100, $D$45) = 0, F100/ $D$45, IF(INT(F100 / $D$45) = 0, MOD(F100, $D$45) &amp; " P", INT(F100 / $D$45) &amp; " + " &amp; MOD(F100, $D$45) &amp; " P")))</f>
        <v/>
      </c>
      <c r="G101" s="185" t="str">
        <f t="shared" si="63"/>
        <v/>
      </c>
      <c r="H101" s="185" t="str">
        <f t="shared" si="63"/>
        <v/>
      </c>
      <c r="I101" s="185" t="str">
        <f t="shared" si="63"/>
        <v>8 P</v>
      </c>
      <c r="J101" s="185" t="str">
        <f t="shared" si="63"/>
        <v/>
      </c>
      <c r="K101" s="185" t="str">
        <f t="shared" si="63"/>
        <v>2 P</v>
      </c>
      <c r="L101" s="185" t="str">
        <f t="shared" si="63"/>
        <v>28 P</v>
      </c>
      <c r="M101" s="185" t="str">
        <f t="shared" si="63"/>
        <v>1 + 10 P</v>
      </c>
      <c r="N101" s="185" t="str">
        <f t="shared" si="63"/>
        <v>1 P</v>
      </c>
      <c r="O101" s="185" t="str">
        <f t="shared" si="63"/>
        <v>3 P</v>
      </c>
      <c r="P101" s="185" t="str">
        <f t="shared" si="63"/>
        <v/>
      </c>
      <c r="Q101" s="238"/>
      <c r="R101" s="240"/>
      <c r="S101" s="242"/>
      <c r="T101" s="244"/>
      <c r="U101" s="3"/>
      <c r="V101" s="167"/>
      <c r="W101" s="172"/>
      <c r="X101" s="173"/>
      <c r="Y101" s="168"/>
      <c r="Z101" s="174"/>
    </row>
    <row r="102" spans="2:37" ht="61.8" customHeight="1" thickBot="1">
      <c r="B102" s="192">
        <v>17</v>
      </c>
      <c r="C102" s="156" t="s">
        <v>105</v>
      </c>
      <c r="D102" s="235">
        <v>15</v>
      </c>
      <c r="E102" s="182"/>
      <c r="F102" s="182"/>
      <c r="G102" s="182"/>
      <c r="H102" s="182"/>
      <c r="I102" s="182">
        <v>0</v>
      </c>
      <c r="J102" s="182">
        <v>1</v>
      </c>
      <c r="K102" s="182">
        <v>1</v>
      </c>
      <c r="L102" s="182">
        <v>11</v>
      </c>
      <c r="M102" s="182">
        <v>22</v>
      </c>
      <c r="N102" s="182">
        <v>1</v>
      </c>
      <c r="O102" s="182">
        <v>0</v>
      </c>
      <c r="P102" s="182">
        <v>0</v>
      </c>
      <c r="Q102" s="237">
        <f>SUM(E102:P102)</f>
        <v>36</v>
      </c>
      <c r="R102" s="239">
        <v>6</v>
      </c>
      <c r="S102" s="241">
        <v>110</v>
      </c>
      <c r="T102" s="243">
        <f t="shared" ref="T102" si="64">SUM(S102-Q102)</f>
        <v>74</v>
      </c>
      <c r="U102" s="3"/>
      <c r="V102" s="167">
        <f>SUM(E102,F102)</f>
        <v>0</v>
      </c>
      <c r="W102" s="168">
        <f>SUM(G102,H102)</f>
        <v>0</v>
      </c>
      <c r="X102" s="169">
        <f>SUM(I102,J102)</f>
        <v>1</v>
      </c>
      <c r="Y102" s="168">
        <f>SUM(K102,L102,M102,)</f>
        <v>34</v>
      </c>
      <c r="Z102" s="170">
        <f>SUM(N102,O102,P102)</f>
        <v>1</v>
      </c>
      <c r="AK102" s="45" t="str">
        <f>IF(AK91=0, "", IF(MOD(AK91, $D$35) = 0, AK91/ $D$35, IF(INT(AK91 / $D$35) = 0, MOD(AK91, $D$35) &amp; " P", INT(AK91 / $D$35) &amp; " + " &amp; MOD(AK91, $D$35) &amp; " P")))</f>
        <v/>
      </c>
    </row>
    <row r="103" spans="2:37" ht="61.8" customHeight="1" thickBot="1">
      <c r="B103" s="193"/>
      <c r="C103" s="161" t="s">
        <v>117</v>
      </c>
      <c r="D103" s="236"/>
      <c r="E103" s="185" t="str">
        <f>IF(E102=0, "", IF(MOD(E102, $D$47) = 0, E102/ $D$47, IF(INT(E102 / $D$47) = 0, MOD(E102, $D$47) &amp; " P", INT(E102 / $D$47) &amp; " + " &amp; MOD(E102, $D$47) &amp; " P")))</f>
        <v/>
      </c>
      <c r="F103" s="185" t="str">
        <f t="shared" ref="F103:P103" si="65">IF(F102=0, "", IF(MOD(F102, $D$47) = 0, F102/ $D$47, IF(INT(F102 / $D$47) = 0, MOD(F102, $D$47) &amp; " P", INT(F102 / $D$47) &amp; " + " &amp; MOD(F102, $D$47) &amp; " P")))</f>
        <v/>
      </c>
      <c r="G103" s="185" t="str">
        <f t="shared" si="65"/>
        <v/>
      </c>
      <c r="H103" s="185" t="str">
        <f t="shared" si="65"/>
        <v/>
      </c>
      <c r="I103" s="185" t="str">
        <f t="shared" si="65"/>
        <v/>
      </c>
      <c r="J103" s="185" t="str">
        <f t="shared" si="65"/>
        <v>1 P</v>
      </c>
      <c r="K103" s="185" t="str">
        <f t="shared" si="65"/>
        <v>1 P</v>
      </c>
      <c r="L103" s="185" t="str">
        <f t="shared" si="65"/>
        <v>11 P</v>
      </c>
      <c r="M103" s="185" t="str">
        <f t="shared" si="65"/>
        <v>1 + 7 P</v>
      </c>
      <c r="N103" s="185" t="str">
        <f t="shared" si="65"/>
        <v>1 P</v>
      </c>
      <c r="O103" s="185" t="str">
        <f t="shared" si="65"/>
        <v/>
      </c>
      <c r="P103" s="185" t="str">
        <f t="shared" si="65"/>
        <v/>
      </c>
      <c r="Q103" s="238"/>
      <c r="R103" s="240"/>
      <c r="S103" s="242"/>
      <c r="T103" s="244"/>
      <c r="U103" s="3"/>
      <c r="V103" s="167"/>
      <c r="W103" s="172"/>
      <c r="X103" s="173"/>
      <c r="Y103" s="168"/>
      <c r="Z103" s="174"/>
    </row>
    <row r="104" spans="2:37" ht="61.8" customHeight="1" thickBot="1">
      <c r="B104" s="192">
        <v>18</v>
      </c>
      <c r="C104" s="155" t="s">
        <v>145</v>
      </c>
      <c r="D104" s="245">
        <v>8</v>
      </c>
      <c r="E104" s="182"/>
      <c r="F104" s="182"/>
      <c r="G104" s="182"/>
      <c r="H104" s="182"/>
      <c r="I104" s="182">
        <v>2</v>
      </c>
      <c r="J104" s="182">
        <v>0</v>
      </c>
      <c r="K104" s="182">
        <v>0</v>
      </c>
      <c r="L104" s="182">
        <v>2</v>
      </c>
      <c r="M104" s="182">
        <v>3</v>
      </c>
      <c r="N104" s="182">
        <v>2</v>
      </c>
      <c r="O104" s="182">
        <v>3</v>
      </c>
      <c r="P104" s="182">
        <v>0</v>
      </c>
      <c r="Q104" s="237">
        <f>SUM(E104:P104)</f>
        <v>12</v>
      </c>
      <c r="R104" s="239">
        <v>5</v>
      </c>
      <c r="S104" s="241">
        <v>50</v>
      </c>
      <c r="T104" s="243">
        <f t="shared" ref="T104" si="66">SUM(S104-Q104)</f>
        <v>38</v>
      </c>
      <c r="U104" s="3"/>
      <c r="V104" s="167">
        <f>SUM(E104,F104)</f>
        <v>0</v>
      </c>
      <c r="W104" s="168">
        <f>SUM(G104,H104)</f>
        <v>0</v>
      </c>
      <c r="X104" s="169">
        <f>SUM(I104,J104)</f>
        <v>2</v>
      </c>
      <c r="Y104" s="168">
        <f>SUM(K104,L104,M104,)</f>
        <v>5</v>
      </c>
      <c r="Z104" s="170">
        <f>SUM(N104,O104,P104)</f>
        <v>5</v>
      </c>
      <c r="AK104" s="45" t="str">
        <f>IF(AK95=0, "", IF(MOD(AK95, $D$35) = 0, AK95/ $D$35, IF(INT(AK95 / $D$35) = 0, MOD(AK95, $D$35) &amp; " P", INT(AK95 / $D$35) &amp; " + " &amp; MOD(AK95, $D$35) &amp; " P")))</f>
        <v/>
      </c>
    </row>
    <row r="105" spans="2:37" ht="61.8" customHeight="1" thickBot="1">
      <c r="B105" s="193"/>
      <c r="C105" s="181" t="s">
        <v>144</v>
      </c>
      <c r="D105" s="246"/>
      <c r="E105" s="185" t="str">
        <f>IF(E104=0, "", IF(MOD(E104, $D$49) = 0, E104/ $D$49, IF(INT(E104 / $D$49) = 0, MOD(E104, $D$49) &amp; " P", INT(E104 / $D$49) &amp; " + " &amp; MOD(E104, $D$49) &amp; " P")))</f>
        <v/>
      </c>
      <c r="F105" s="185" t="str">
        <f t="shared" ref="F105:P105" si="67">IF(F104=0, "", IF(MOD(F104, $D$49) = 0, F104/ $D$49, IF(INT(F104 / $D$49) = 0, MOD(F104, $D$49) &amp; " P", INT(F104 / $D$49) &amp; " + " &amp; MOD(F104, $D$49) &amp; " P")))</f>
        <v/>
      </c>
      <c r="G105" s="185" t="str">
        <f t="shared" si="67"/>
        <v/>
      </c>
      <c r="H105" s="185" t="str">
        <f t="shared" si="67"/>
        <v/>
      </c>
      <c r="I105" s="185" t="str">
        <f t="shared" si="67"/>
        <v>2 P</v>
      </c>
      <c r="J105" s="185" t="str">
        <f t="shared" si="67"/>
        <v/>
      </c>
      <c r="K105" s="185" t="str">
        <f t="shared" si="67"/>
        <v/>
      </c>
      <c r="L105" s="185" t="str">
        <f t="shared" si="67"/>
        <v>2 P</v>
      </c>
      <c r="M105" s="185" t="str">
        <f t="shared" si="67"/>
        <v>3 P</v>
      </c>
      <c r="N105" s="185" t="str">
        <f t="shared" si="67"/>
        <v>2 P</v>
      </c>
      <c r="O105" s="185" t="str">
        <f t="shared" si="67"/>
        <v>3 P</v>
      </c>
      <c r="P105" s="185" t="str">
        <f t="shared" si="67"/>
        <v/>
      </c>
      <c r="Q105" s="238"/>
      <c r="R105" s="240"/>
      <c r="S105" s="242"/>
      <c r="T105" s="244"/>
      <c r="U105" s="3"/>
      <c r="V105" s="167"/>
      <c r="W105" s="172"/>
      <c r="X105" s="173"/>
      <c r="Y105" s="168"/>
      <c r="Z105" s="174"/>
    </row>
    <row r="106" spans="2:37" ht="79.8" customHeight="1" thickBot="1">
      <c r="B106" s="221" t="s">
        <v>81</v>
      </c>
      <c r="C106" s="222"/>
      <c r="D106" s="223"/>
      <c r="E106" s="144"/>
      <c r="F106" s="144"/>
      <c r="G106" s="144"/>
      <c r="H106" s="144"/>
      <c r="I106" s="209">
        <v>-19</v>
      </c>
      <c r="J106" s="209">
        <v>-14</v>
      </c>
      <c r="K106" s="209">
        <v>-10</v>
      </c>
      <c r="L106" s="209">
        <v>-27</v>
      </c>
      <c r="M106" s="209">
        <v>-41</v>
      </c>
      <c r="N106" s="209">
        <v>-42</v>
      </c>
      <c r="O106" s="209">
        <v>-44</v>
      </c>
      <c r="P106" s="209">
        <v>-3</v>
      </c>
      <c r="Q106" s="179"/>
      <c r="R106" s="180">
        <f>SUM(R70:R105)</f>
        <v>200</v>
      </c>
      <c r="S106" s="145"/>
      <c r="T106" s="146"/>
      <c r="U106" s="3"/>
      <c r="V106" s="175"/>
      <c r="W106" s="176"/>
      <c r="X106" s="177"/>
      <c r="Y106" s="178"/>
      <c r="Z106" s="177"/>
    </row>
    <row r="107" spans="2:37" ht="22.8" customHeight="1" thickBot="1"/>
    <row r="108" spans="2:37" ht="64.8" customHeight="1" thickBot="1">
      <c r="B108" s="224" t="s">
        <v>49</v>
      </c>
      <c r="C108" s="225"/>
      <c r="D108" s="224" t="s">
        <v>53</v>
      </c>
      <c r="E108" s="225"/>
      <c r="F108" s="224" t="s">
        <v>54</v>
      </c>
      <c r="G108" s="225"/>
      <c r="H108" s="224" t="s">
        <v>71</v>
      </c>
      <c r="I108" s="225"/>
      <c r="J108" s="226" t="s">
        <v>88</v>
      </c>
      <c r="K108" s="227"/>
      <c r="L108" s="227"/>
      <c r="M108" s="227"/>
      <c r="N108" s="227"/>
      <c r="O108" s="227"/>
      <c r="P108" s="227"/>
      <c r="Q108" s="228">
        <f>SUM(R106)</f>
        <v>200</v>
      </c>
      <c r="R108" s="230" t="s">
        <v>89</v>
      </c>
      <c r="T108" s="31"/>
      <c r="U108" s="3"/>
    </row>
    <row r="109" spans="2:37" ht="64.8" customHeight="1">
      <c r="B109" s="231" t="s">
        <v>72</v>
      </c>
      <c r="C109" s="232"/>
      <c r="D109" s="233"/>
      <c r="E109" s="234"/>
      <c r="F109" s="233"/>
      <c r="G109" s="234"/>
      <c r="H109" s="233"/>
      <c r="I109" s="234"/>
      <c r="J109" s="226"/>
      <c r="K109" s="227"/>
      <c r="L109" s="227"/>
      <c r="M109" s="227"/>
      <c r="N109" s="227"/>
      <c r="O109" s="227"/>
      <c r="P109" s="227"/>
      <c r="Q109" s="229"/>
      <c r="R109" s="230"/>
      <c r="T109" s="31"/>
      <c r="U109" s="3"/>
    </row>
    <row r="110" spans="2:37" ht="73.8" customHeight="1" thickBot="1">
      <c r="B110" s="212" t="s">
        <v>74</v>
      </c>
      <c r="C110" s="213"/>
      <c r="D110" s="214"/>
      <c r="E110" s="215"/>
      <c r="F110" s="214"/>
      <c r="G110" s="215"/>
      <c r="H110" s="214"/>
      <c r="I110" s="215"/>
      <c r="K110" s="194" t="s">
        <v>73</v>
      </c>
      <c r="M110" s="52"/>
      <c r="N110" s="195"/>
      <c r="O110" s="195"/>
      <c r="P110" s="195"/>
      <c r="Q110" s="195"/>
      <c r="R110" s="195"/>
      <c r="T110" s="31"/>
      <c r="U110" s="3"/>
    </row>
    <row r="111" spans="2:37" ht="64.8" customHeight="1" thickBot="1">
      <c r="B111" s="216" t="s">
        <v>76</v>
      </c>
      <c r="C111" s="217"/>
      <c r="D111" s="218"/>
      <c r="E111" s="219"/>
      <c r="F111" s="218"/>
      <c r="G111" s="219"/>
      <c r="H111" s="218"/>
      <c r="I111" s="219"/>
      <c r="K111" s="39" t="s">
        <v>75</v>
      </c>
      <c r="L111" s="39" t="s">
        <v>59</v>
      </c>
      <c r="M111" s="69"/>
      <c r="N111" s="194" t="s">
        <v>77</v>
      </c>
      <c r="O111" s="69"/>
      <c r="P111" s="90"/>
      <c r="Q111" s="196"/>
      <c r="R111" s="68"/>
      <c r="S111" s="31"/>
      <c r="T111" s="3"/>
      <c r="U111" s="162"/>
      <c r="Z111" s="3"/>
    </row>
    <row r="112" spans="2:37" ht="64.8" customHeight="1" thickBot="1">
      <c r="D112" s="52"/>
      <c r="E112" s="41"/>
      <c r="F112" s="41"/>
      <c r="G112" s="69"/>
      <c r="H112" s="69"/>
      <c r="I112" s="41"/>
      <c r="K112" s="39"/>
      <c r="L112" s="39"/>
      <c r="M112" s="41"/>
      <c r="N112" s="69"/>
      <c r="O112" s="69"/>
      <c r="P112" s="69"/>
      <c r="Q112" s="41"/>
      <c r="R112" s="3"/>
      <c r="S112" s="31"/>
      <c r="T112" s="3"/>
      <c r="U112" s="162"/>
      <c r="Z112" s="3"/>
    </row>
    <row r="128" spans="2:27" ht="71.400000000000006" customHeight="1" thickBot="1">
      <c r="B128" s="250" t="s">
        <v>151</v>
      </c>
      <c r="C128" s="250"/>
      <c r="D128" s="250"/>
      <c r="G128" s="220" t="s">
        <v>148</v>
      </c>
      <c r="H128" s="220"/>
      <c r="I128" s="220"/>
      <c r="J128" s="220"/>
      <c r="K128" s="220"/>
      <c r="L128" s="220"/>
      <c r="M128" s="220"/>
      <c r="N128" s="220"/>
      <c r="O128" s="220"/>
      <c r="P128" s="220"/>
      <c r="Q128" s="153"/>
      <c r="R128" s="153"/>
      <c r="U128" s="3"/>
      <c r="AA128" s="30"/>
    </row>
    <row r="129" spans="2:37" ht="3" hidden="1" customHeight="1">
      <c r="B129" s="251"/>
      <c r="C129" s="251"/>
      <c r="D129" s="251"/>
      <c r="E129" s="154"/>
      <c r="F129" s="154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154"/>
      <c r="R129" s="154"/>
      <c r="S129" s="152"/>
      <c r="T129" s="104"/>
      <c r="U129" s="29"/>
      <c r="W129" s="252"/>
      <c r="X129" s="253"/>
      <c r="Y129" s="253"/>
      <c r="Z129" s="253"/>
      <c r="AA129" s="254"/>
    </row>
    <row r="130" spans="2:37" ht="58.8" customHeight="1" thickBot="1">
      <c r="B130" s="255" t="s">
        <v>90</v>
      </c>
      <c r="C130" s="256"/>
      <c r="D130" s="261" t="s">
        <v>39</v>
      </c>
      <c r="E130" s="264" t="s">
        <v>98</v>
      </c>
      <c r="F130" s="265"/>
      <c r="G130" s="266" t="s">
        <v>99</v>
      </c>
      <c r="H130" s="267"/>
      <c r="I130" s="268" t="s">
        <v>100</v>
      </c>
      <c r="J130" s="269"/>
      <c r="K130" s="270" t="s">
        <v>101</v>
      </c>
      <c r="L130" s="271"/>
      <c r="M130" s="272"/>
      <c r="N130" s="273" t="s">
        <v>102</v>
      </c>
      <c r="O130" s="274"/>
      <c r="P130" s="275"/>
      <c r="Q130" s="276" t="s">
        <v>68</v>
      </c>
      <c r="R130" s="277"/>
      <c r="S130" s="280" t="s">
        <v>78</v>
      </c>
      <c r="T130" s="283" t="s">
        <v>79</v>
      </c>
      <c r="U130" s="3"/>
      <c r="V130" s="286" t="s">
        <v>82</v>
      </c>
      <c r="W130" s="288" t="s">
        <v>83</v>
      </c>
      <c r="X130" s="290" t="s">
        <v>85</v>
      </c>
      <c r="Y130" s="288" t="s">
        <v>84</v>
      </c>
      <c r="Z130" s="292" t="s">
        <v>86</v>
      </c>
    </row>
    <row r="131" spans="2:37" ht="60.6" customHeight="1" thickBot="1">
      <c r="B131" s="257"/>
      <c r="C131" s="258"/>
      <c r="D131" s="262"/>
      <c r="E131" s="294" t="s">
        <v>93</v>
      </c>
      <c r="F131" s="295"/>
      <c r="G131" s="296" t="s">
        <v>94</v>
      </c>
      <c r="H131" s="297"/>
      <c r="I131" s="298" t="s">
        <v>95</v>
      </c>
      <c r="J131" s="299"/>
      <c r="K131" s="300" t="s">
        <v>96</v>
      </c>
      <c r="L131" s="301"/>
      <c r="M131" s="302"/>
      <c r="N131" s="303" t="s">
        <v>97</v>
      </c>
      <c r="O131" s="304"/>
      <c r="P131" s="305"/>
      <c r="Q131" s="278"/>
      <c r="R131" s="279"/>
      <c r="S131" s="281"/>
      <c r="T131" s="284"/>
      <c r="U131" s="3"/>
      <c r="V131" s="287"/>
      <c r="W131" s="289"/>
      <c r="X131" s="291"/>
      <c r="Y131" s="289"/>
      <c r="Z131" s="293"/>
    </row>
    <row r="132" spans="2:37" ht="75" customHeight="1" thickBot="1">
      <c r="B132" s="259"/>
      <c r="C132" s="260"/>
      <c r="D132" s="263"/>
      <c r="E132" s="197" t="s">
        <v>0</v>
      </c>
      <c r="F132" s="198" t="s">
        <v>69</v>
      </c>
      <c r="G132" s="199" t="s">
        <v>0</v>
      </c>
      <c r="H132" s="200" t="s">
        <v>69</v>
      </c>
      <c r="I132" s="201" t="s">
        <v>0</v>
      </c>
      <c r="J132" s="202" t="s">
        <v>69</v>
      </c>
      <c r="K132" s="203" t="s">
        <v>0</v>
      </c>
      <c r="L132" s="204" t="s">
        <v>69</v>
      </c>
      <c r="M132" s="203" t="s">
        <v>25</v>
      </c>
      <c r="N132" s="205" t="s">
        <v>0</v>
      </c>
      <c r="O132" s="205" t="s">
        <v>1</v>
      </c>
      <c r="P132" s="206" t="s">
        <v>25</v>
      </c>
      <c r="Q132" s="207" t="s">
        <v>80</v>
      </c>
      <c r="R132" s="208" t="s">
        <v>70</v>
      </c>
      <c r="S132" s="282"/>
      <c r="T132" s="285"/>
      <c r="U132" s="3"/>
      <c r="V132" s="163"/>
      <c r="W132" s="164"/>
      <c r="X132" s="165"/>
      <c r="Y132" s="164"/>
      <c r="Z132" s="166"/>
      <c r="AK132" s="44">
        <v>32</v>
      </c>
    </row>
    <row r="133" spans="2:37" ht="61.8" customHeight="1" thickBot="1">
      <c r="B133" s="248">
        <v>1</v>
      </c>
      <c r="C133" s="155" t="s">
        <v>103</v>
      </c>
      <c r="D133" s="245">
        <v>36</v>
      </c>
      <c r="E133" s="182">
        <v>15</v>
      </c>
      <c r="F133" s="183">
        <v>11</v>
      </c>
      <c r="G133" s="183">
        <v>41</v>
      </c>
      <c r="H133" s="183">
        <v>52</v>
      </c>
      <c r="I133" s="183"/>
      <c r="J133" s="183"/>
      <c r="K133" s="183"/>
      <c r="L133" s="183"/>
      <c r="M133" s="183"/>
      <c r="N133" s="183"/>
      <c r="O133" s="184"/>
      <c r="P133" s="184"/>
      <c r="Q133" s="237">
        <f>SUM(E133:P133)</f>
        <v>119</v>
      </c>
      <c r="R133" s="239">
        <v>6</v>
      </c>
      <c r="S133" s="241">
        <v>250</v>
      </c>
      <c r="T133" s="243">
        <f>SUM(S133-Q133)</f>
        <v>131</v>
      </c>
      <c r="U133" s="3"/>
      <c r="V133" s="167">
        <f>SUM(E133,F133)</f>
        <v>26</v>
      </c>
      <c r="W133" s="168">
        <f>SUM(G133,H133)</f>
        <v>93</v>
      </c>
      <c r="X133" s="169">
        <f>SUM(I133,J133)</f>
        <v>0</v>
      </c>
      <c r="Y133" s="168">
        <f>SUM(K133,L133,M133,)</f>
        <v>0</v>
      </c>
      <c r="Z133" s="170">
        <f>SUM(N133,O133,P133)</f>
        <v>0</v>
      </c>
      <c r="AK133" s="45" t="str">
        <f t="shared" ref="AK133" si="68">IF(AK132=0, "", IF(MOD(AK132, $D$15) = 0, AK132 / $D$15, IF(INT(AK132 / $D$15) = 0, MOD(AK132, $D$15) &amp; " P", INT(AK132 / $D$15) &amp; " + " &amp; MOD(AK132, $D$15) &amp; " P")))</f>
        <v>32 P</v>
      </c>
    </row>
    <row r="134" spans="2:37" ht="61.8" customHeight="1" thickBot="1">
      <c r="B134" s="249"/>
      <c r="C134" s="159" t="s">
        <v>106</v>
      </c>
      <c r="D134" s="246"/>
      <c r="E134" s="185" t="str">
        <f t="shared" ref="E134:P134" si="69">IF(E133=0, "", IF(MOD(E133, $D$15) = 0, E133 / $D$15, IF(INT(E133 / $D$15) = 0, MOD(E133, $D$15) &amp; " P", INT(E133 / $D$15) &amp; " + " &amp; MOD(E133, $D$15) &amp; " P")))</f>
        <v>15 P</v>
      </c>
      <c r="F134" s="185" t="str">
        <f t="shared" si="69"/>
        <v>11 P</v>
      </c>
      <c r="G134" s="185" t="str">
        <f t="shared" si="69"/>
        <v>1 + 5 P</v>
      </c>
      <c r="H134" s="185" t="str">
        <f t="shared" si="69"/>
        <v>1 + 16 P</v>
      </c>
      <c r="I134" s="185" t="str">
        <f t="shared" si="69"/>
        <v/>
      </c>
      <c r="J134" s="185" t="str">
        <f t="shared" si="69"/>
        <v/>
      </c>
      <c r="K134" s="185" t="str">
        <f t="shared" si="69"/>
        <v/>
      </c>
      <c r="L134" s="185" t="str">
        <f t="shared" si="69"/>
        <v/>
      </c>
      <c r="M134" s="185" t="str">
        <f t="shared" si="69"/>
        <v/>
      </c>
      <c r="N134" s="185" t="str">
        <f t="shared" si="69"/>
        <v/>
      </c>
      <c r="O134" s="185" t="str">
        <f t="shared" si="69"/>
        <v/>
      </c>
      <c r="P134" s="185" t="str">
        <f t="shared" si="69"/>
        <v/>
      </c>
      <c r="Q134" s="238"/>
      <c r="R134" s="240"/>
      <c r="S134" s="242"/>
      <c r="T134" s="244"/>
      <c r="U134" s="3"/>
      <c r="V134" s="171"/>
      <c r="W134" s="172"/>
      <c r="X134" s="173"/>
      <c r="Y134" s="168"/>
      <c r="Z134" s="174"/>
      <c r="AK134" s="49">
        <v>129</v>
      </c>
    </row>
    <row r="135" spans="2:37" ht="61.8" customHeight="1" thickBot="1">
      <c r="B135" s="248">
        <v>2</v>
      </c>
      <c r="C135" s="156" t="s">
        <v>61</v>
      </c>
      <c r="D135" s="248">
        <v>32</v>
      </c>
      <c r="E135" s="182">
        <v>33</v>
      </c>
      <c r="F135" s="183">
        <v>41</v>
      </c>
      <c r="G135" s="183">
        <v>146</v>
      </c>
      <c r="H135" s="183">
        <v>91</v>
      </c>
      <c r="I135" s="186"/>
      <c r="J135" s="186"/>
      <c r="K135" s="186"/>
      <c r="L135" s="183"/>
      <c r="M135" s="183"/>
      <c r="N135" s="183"/>
      <c r="O135" s="184"/>
      <c r="P135" s="184"/>
      <c r="Q135" s="237">
        <f>SUM(E135:P135)</f>
        <v>311</v>
      </c>
      <c r="R135" s="239">
        <v>12</v>
      </c>
      <c r="S135" s="241">
        <v>650</v>
      </c>
      <c r="T135" s="243">
        <f>SUM(S135-Q135)</f>
        <v>339</v>
      </c>
      <c r="U135" s="3"/>
      <c r="V135" s="167">
        <f>SUM(E135,F135)</f>
        <v>74</v>
      </c>
      <c r="W135" s="172">
        <f>SUM(G135,H135)</f>
        <v>237</v>
      </c>
      <c r="X135" s="173">
        <f>SUM(I135,J135)</f>
        <v>0</v>
      </c>
      <c r="Y135" s="168">
        <f>SUM(K135,L135,M135,)</f>
        <v>0</v>
      </c>
      <c r="Z135" s="170">
        <f>SUM(N135,O135,P135)</f>
        <v>0</v>
      </c>
      <c r="AK135" s="50" t="str">
        <f t="shared" ref="AK135" si="70">IF(AK134=0, "", IF(MOD(AK134, $D$17) = 0, AK134 / $D$17, IF(INT(AK134 / $D$17) = 0, MOD(AK134, $D$17) &amp; " P", INT(AK134 / $D$17) &amp; " + " &amp; MOD(AK134, $D$17) &amp; " P")))</f>
        <v>4 + 1 P</v>
      </c>
    </row>
    <row r="136" spans="2:37" ht="61.8" customHeight="1" thickBot="1">
      <c r="B136" s="249"/>
      <c r="C136" s="160" t="s">
        <v>110</v>
      </c>
      <c r="D136" s="249"/>
      <c r="E136" s="185" t="str">
        <f>IF(E135=0, "", IF(MOD(E135, $D$17) = 0, E135 / $D$17, IF(INT(E135 / $D$17) = 0, MOD(E135, $D$17) &amp; " P", INT(E135 / $D$17) &amp; " + " &amp; MOD(E135, $D$17) &amp; " P")))</f>
        <v>1 + 1 P</v>
      </c>
      <c r="F136" s="185" t="str">
        <f t="shared" ref="F136:P136" si="71">IF(F135=0, "", IF(MOD(F135, $D$17) = 0, F135 / $D$17, IF(INT(F135 / $D$17) = 0, MOD(F135, $D$17) &amp; " P", INT(F135 / $D$17) &amp; " + " &amp; MOD(F135, $D$17) &amp; " P")))</f>
        <v>1 + 9 P</v>
      </c>
      <c r="G136" s="185" t="str">
        <f t="shared" si="71"/>
        <v>4 + 18 P</v>
      </c>
      <c r="H136" s="185" t="str">
        <f t="shared" si="71"/>
        <v>2 + 27 P</v>
      </c>
      <c r="I136" s="185" t="str">
        <f t="shared" si="71"/>
        <v/>
      </c>
      <c r="J136" s="185" t="str">
        <f t="shared" si="71"/>
        <v/>
      </c>
      <c r="K136" s="185" t="str">
        <f t="shared" si="71"/>
        <v/>
      </c>
      <c r="L136" s="185" t="str">
        <f t="shared" si="71"/>
        <v/>
      </c>
      <c r="M136" s="185" t="str">
        <f t="shared" si="71"/>
        <v/>
      </c>
      <c r="N136" s="185" t="str">
        <f t="shared" si="71"/>
        <v/>
      </c>
      <c r="O136" s="185" t="str">
        <f t="shared" si="71"/>
        <v/>
      </c>
      <c r="P136" s="185" t="str">
        <f t="shared" si="71"/>
        <v/>
      </c>
      <c r="Q136" s="238"/>
      <c r="R136" s="240"/>
      <c r="S136" s="242"/>
      <c r="T136" s="244"/>
      <c r="U136" s="3"/>
      <c r="V136" s="171"/>
      <c r="W136" s="172"/>
      <c r="X136" s="173"/>
      <c r="Y136" s="168"/>
      <c r="Z136" s="174"/>
      <c r="AK136" s="51">
        <v>54</v>
      </c>
    </row>
    <row r="137" spans="2:37" ht="61.8" customHeight="1" thickBot="1">
      <c r="B137" s="248">
        <v>3</v>
      </c>
      <c r="C137" s="156" t="s">
        <v>141</v>
      </c>
      <c r="D137" s="248">
        <v>14</v>
      </c>
      <c r="E137" s="182">
        <v>16</v>
      </c>
      <c r="F137" s="182">
        <v>17</v>
      </c>
      <c r="G137" s="182">
        <v>21</v>
      </c>
      <c r="H137" s="182">
        <v>32</v>
      </c>
      <c r="I137" s="182"/>
      <c r="J137" s="182"/>
      <c r="K137" s="182"/>
      <c r="L137" s="182"/>
      <c r="M137" s="182"/>
      <c r="N137" s="182"/>
      <c r="O137" s="182"/>
      <c r="P137" s="182"/>
      <c r="Q137" s="237">
        <f>SUM(E137:P137)</f>
        <v>86</v>
      </c>
      <c r="R137" s="239">
        <v>9</v>
      </c>
      <c r="S137" s="241">
        <v>190</v>
      </c>
      <c r="T137" s="243">
        <f>SUM(S137-Q137)</f>
        <v>104</v>
      </c>
      <c r="U137" s="3"/>
      <c r="V137" s="171">
        <f>SUM(E137,F137)</f>
        <v>33</v>
      </c>
      <c r="W137" s="172">
        <f>SUM(G137,H137)</f>
        <v>53</v>
      </c>
      <c r="X137" s="173">
        <f>SUM(I137,J137)</f>
        <v>0</v>
      </c>
      <c r="Y137" s="168">
        <f>SUM(K137,L137,M137,)</f>
        <v>0</v>
      </c>
      <c r="Z137" s="170">
        <f>SUM(N137,O137,P137)</f>
        <v>0</v>
      </c>
      <c r="AK137" s="50" t="e">
        <f>IF(#REF!=0, "", IF(MOD(#REF!, $D$19) = 0,#REF!/ $D$19, IF(INT(#REF! / $D$19) = 0, MOD(#REF!, $D$19) &amp; " P", INT(#REF! / $D$19) &amp; " + " &amp; MOD(#REF!, $D$19) &amp; " P")))</f>
        <v>#REF!</v>
      </c>
    </row>
    <row r="138" spans="2:37" ht="61.8" customHeight="1" thickBot="1">
      <c r="B138" s="249"/>
      <c r="C138" s="160" t="s">
        <v>143</v>
      </c>
      <c r="D138" s="249"/>
      <c r="E138" s="185" t="str">
        <f t="shared" ref="E138:P138" si="72">IF(E137=0, "", IF(MOD(E137, $D$19) = 0, E137/ $D$19, IF(INT(E137 / $D$19) = 0, MOD(E137, $D$19) &amp; " P", INT(E137 / $D$19) &amp; " + " &amp; MOD(E137, $D$19) &amp; " P")))</f>
        <v>1 + 2 P</v>
      </c>
      <c r="F138" s="185" t="str">
        <f t="shared" si="72"/>
        <v>1 + 3 P</v>
      </c>
      <c r="G138" s="185" t="str">
        <f t="shared" si="72"/>
        <v>1 + 7 P</v>
      </c>
      <c r="H138" s="185" t="str">
        <f t="shared" si="72"/>
        <v>2 + 4 P</v>
      </c>
      <c r="I138" s="185" t="str">
        <f t="shared" si="72"/>
        <v/>
      </c>
      <c r="J138" s="185" t="str">
        <f t="shared" si="72"/>
        <v/>
      </c>
      <c r="K138" s="185" t="str">
        <f t="shared" si="72"/>
        <v/>
      </c>
      <c r="L138" s="185" t="str">
        <f t="shared" si="72"/>
        <v/>
      </c>
      <c r="M138" s="185" t="str">
        <f t="shared" si="72"/>
        <v/>
      </c>
      <c r="N138" s="185" t="str">
        <f t="shared" si="72"/>
        <v/>
      </c>
      <c r="O138" s="185" t="str">
        <f t="shared" si="72"/>
        <v/>
      </c>
      <c r="P138" s="185" t="str">
        <f t="shared" si="72"/>
        <v/>
      </c>
      <c r="Q138" s="238"/>
      <c r="R138" s="240"/>
      <c r="S138" s="242"/>
      <c r="T138" s="244"/>
      <c r="U138" s="3"/>
      <c r="V138" s="171"/>
      <c r="W138" s="172"/>
      <c r="X138" s="173"/>
      <c r="Y138" s="168"/>
      <c r="Z138" s="174"/>
      <c r="AK138" s="47">
        <v>227</v>
      </c>
    </row>
    <row r="139" spans="2:37" ht="61.8" customHeight="1" thickBot="1">
      <c r="B139" s="192">
        <v>4</v>
      </c>
      <c r="C139" s="156" t="s">
        <v>140</v>
      </c>
      <c r="D139" s="248">
        <v>14</v>
      </c>
      <c r="E139" s="182">
        <v>21</v>
      </c>
      <c r="F139" s="182">
        <v>28</v>
      </c>
      <c r="G139" s="182">
        <v>27</v>
      </c>
      <c r="H139" s="182">
        <v>43</v>
      </c>
      <c r="I139" s="182"/>
      <c r="J139" s="182"/>
      <c r="K139" s="182"/>
      <c r="L139" s="182"/>
      <c r="M139" s="182"/>
      <c r="N139" s="182"/>
      <c r="O139" s="182"/>
      <c r="P139" s="182"/>
      <c r="Q139" s="237">
        <f>SUM(E139:P139)</f>
        <v>119</v>
      </c>
      <c r="R139" s="239">
        <v>10</v>
      </c>
      <c r="S139" s="241">
        <v>200</v>
      </c>
      <c r="T139" s="243">
        <f>SUM(S139-Q139)</f>
        <v>81</v>
      </c>
      <c r="U139" s="3"/>
      <c r="V139" s="171">
        <f>SUM(E139,F139)</f>
        <v>49</v>
      </c>
      <c r="W139" s="172">
        <f>SUM(G139,H139)</f>
        <v>70</v>
      </c>
      <c r="X139" s="173">
        <f>SUM(I139,J139)</f>
        <v>0</v>
      </c>
      <c r="Y139" s="168">
        <f>SUM(K139,L139,M139,)</f>
        <v>0</v>
      </c>
      <c r="Z139" s="170">
        <f>SUM(N139,O139,P139)</f>
        <v>0</v>
      </c>
      <c r="AK139" s="48" t="str">
        <f t="shared" ref="AK139" si="73">IF(AK138=0, "", IF(MOD(AK138, $D$21) = 0, AK138/ $D$21, IF(INT(AK138 / $D$21) = 0, MOD(AK138, $D$21) &amp; " P", INT(AK138 / $D$21) &amp; " + " &amp; MOD(AK138, $D$21) &amp; " P")))</f>
        <v>16 + 3 P</v>
      </c>
    </row>
    <row r="140" spans="2:37" ht="61.8" customHeight="1" thickBot="1">
      <c r="B140" s="193"/>
      <c r="C140" s="160" t="s">
        <v>142</v>
      </c>
      <c r="D140" s="249"/>
      <c r="E140" s="185" t="str">
        <f>IF(E139=0, "", IF(MOD(E139, $D$21) = 0, E139/ $D$21, IF(INT(E139 / $D$21) = 0, MOD(E139, $D$21) &amp; " P", INT(E139 / $D$21) &amp; " + " &amp; MOD(E139, $D$21) &amp; " P")))</f>
        <v>1 + 7 P</v>
      </c>
      <c r="F140" s="185">
        <f t="shared" ref="F140:P140" si="74">IF(F139=0, "", IF(MOD(F139, $D$21) = 0, F139/ $D$21, IF(INT(F139 / $D$21) = 0, MOD(F139, $D$21) &amp; " P", INT(F139 / $D$21) &amp; " + " &amp; MOD(F139, $D$21) &amp; " P")))</f>
        <v>2</v>
      </c>
      <c r="G140" s="185" t="str">
        <f t="shared" si="74"/>
        <v>1 + 13 P</v>
      </c>
      <c r="H140" s="185" t="str">
        <f t="shared" si="74"/>
        <v>3 + 1 P</v>
      </c>
      <c r="I140" s="185" t="str">
        <f t="shared" si="74"/>
        <v/>
      </c>
      <c r="J140" s="185" t="str">
        <f t="shared" si="74"/>
        <v/>
      </c>
      <c r="K140" s="185" t="str">
        <f t="shared" si="74"/>
        <v/>
      </c>
      <c r="L140" s="185" t="str">
        <f t="shared" si="74"/>
        <v/>
      </c>
      <c r="M140" s="185" t="str">
        <f t="shared" si="74"/>
        <v/>
      </c>
      <c r="N140" s="185" t="str">
        <f t="shared" si="74"/>
        <v/>
      </c>
      <c r="O140" s="185" t="str">
        <f t="shared" si="74"/>
        <v/>
      </c>
      <c r="P140" s="185" t="str">
        <f t="shared" si="74"/>
        <v/>
      </c>
      <c r="Q140" s="238"/>
      <c r="R140" s="240"/>
      <c r="S140" s="242"/>
      <c r="T140" s="244"/>
      <c r="U140" s="3"/>
      <c r="V140" s="171"/>
      <c r="W140" s="172"/>
      <c r="X140" s="173"/>
      <c r="Y140" s="168"/>
      <c r="Z140" s="174"/>
      <c r="AK140" s="49">
        <v>25</v>
      </c>
    </row>
    <row r="141" spans="2:37" ht="61.8" customHeight="1" thickBot="1">
      <c r="B141" s="192">
        <v>5</v>
      </c>
      <c r="C141" s="156" t="s">
        <v>62</v>
      </c>
      <c r="D141" s="248">
        <v>32</v>
      </c>
      <c r="E141" s="182">
        <v>7</v>
      </c>
      <c r="F141" s="183">
        <v>17</v>
      </c>
      <c r="G141" s="183">
        <v>70</v>
      </c>
      <c r="H141" s="183">
        <v>49</v>
      </c>
      <c r="I141" s="183"/>
      <c r="J141" s="183"/>
      <c r="K141" s="183"/>
      <c r="L141" s="183"/>
      <c r="M141" s="183"/>
      <c r="N141" s="183"/>
      <c r="O141" s="184"/>
      <c r="P141" s="184"/>
      <c r="Q141" s="237">
        <f>SUM(E141:P141)</f>
        <v>143</v>
      </c>
      <c r="R141" s="239">
        <v>7</v>
      </c>
      <c r="S141" s="241">
        <v>300</v>
      </c>
      <c r="T141" s="243">
        <f>SUM(S141-Q141)</f>
        <v>157</v>
      </c>
      <c r="U141" s="3"/>
      <c r="V141" s="171">
        <f>SUM(E141,F141)</f>
        <v>24</v>
      </c>
      <c r="W141" s="172">
        <f>SUM(G141,H141)</f>
        <v>119</v>
      </c>
      <c r="X141" s="173">
        <f>SUM(I141,J141)</f>
        <v>0</v>
      </c>
      <c r="Y141" s="168">
        <f>SUM(K141,L141,M141,)</f>
        <v>0</v>
      </c>
      <c r="Z141" s="170">
        <f>SUM(N141,O141,P141)</f>
        <v>0</v>
      </c>
      <c r="AK141" s="50" t="str">
        <f t="shared" ref="AK141" si="75">IF(AK140=0, "", IF(MOD(AK140, $D$23) = 0, AK140/ $D$23, IF(INT(AK140 / $D$23) = 0, MOD(AK140, $D$23) &amp; " P", INT(AK140 / $D$23) &amp; " + " &amp; MOD(AK140, $D$23) &amp; " P")))</f>
        <v>25 P</v>
      </c>
    </row>
    <row r="142" spans="2:37" ht="61.8" customHeight="1" thickBot="1">
      <c r="B142" s="193"/>
      <c r="C142" s="160" t="s">
        <v>111</v>
      </c>
      <c r="D142" s="249"/>
      <c r="E142" s="185" t="str">
        <f t="shared" ref="E142:P142" si="76">IF(E141=0, "", IF(MOD(E141, $D$23) = 0, E141/ $D$23, IF(INT(E141 / $D$23) = 0, MOD(E141, $D$23) &amp; " P", INT(E141 / $D$23) &amp; " + " &amp; MOD(E141, $D$23) &amp; " P")))</f>
        <v>7 P</v>
      </c>
      <c r="F142" s="185" t="str">
        <f t="shared" si="76"/>
        <v>17 P</v>
      </c>
      <c r="G142" s="185" t="str">
        <f t="shared" si="76"/>
        <v>2 + 6 P</v>
      </c>
      <c r="H142" s="185" t="str">
        <f t="shared" si="76"/>
        <v>1 + 17 P</v>
      </c>
      <c r="I142" s="185" t="str">
        <f t="shared" si="76"/>
        <v/>
      </c>
      <c r="J142" s="185" t="str">
        <f t="shared" si="76"/>
        <v/>
      </c>
      <c r="K142" s="185" t="str">
        <f t="shared" si="76"/>
        <v/>
      </c>
      <c r="L142" s="185" t="str">
        <f t="shared" si="76"/>
        <v/>
      </c>
      <c r="M142" s="185" t="str">
        <f t="shared" si="76"/>
        <v/>
      </c>
      <c r="N142" s="185" t="str">
        <f t="shared" si="76"/>
        <v/>
      </c>
      <c r="O142" s="185" t="str">
        <f t="shared" si="76"/>
        <v/>
      </c>
      <c r="P142" s="185" t="str">
        <f t="shared" si="76"/>
        <v/>
      </c>
      <c r="Q142" s="238"/>
      <c r="R142" s="240"/>
      <c r="S142" s="242"/>
      <c r="T142" s="244"/>
      <c r="U142" s="3"/>
      <c r="V142" s="171"/>
      <c r="W142" s="172"/>
      <c r="X142" s="173"/>
      <c r="Y142" s="168"/>
      <c r="Z142" s="174"/>
      <c r="AK142" s="49">
        <v>2</v>
      </c>
    </row>
    <row r="143" spans="2:37" ht="61.8" customHeight="1" thickBot="1">
      <c r="B143" s="192">
        <v>6</v>
      </c>
      <c r="C143" s="157" t="s">
        <v>137</v>
      </c>
      <c r="D143" s="248">
        <v>27</v>
      </c>
      <c r="E143" s="182">
        <v>9</v>
      </c>
      <c r="F143" s="183">
        <v>15</v>
      </c>
      <c r="G143" s="183">
        <v>54</v>
      </c>
      <c r="H143" s="183">
        <v>60</v>
      </c>
      <c r="I143" s="183"/>
      <c r="J143" s="183"/>
      <c r="K143" s="183"/>
      <c r="L143" s="183"/>
      <c r="M143" s="183"/>
      <c r="N143" s="183"/>
      <c r="O143" s="184"/>
      <c r="P143" s="184"/>
      <c r="Q143" s="237">
        <f>SUM(E143:P143)</f>
        <v>138</v>
      </c>
      <c r="R143" s="239">
        <v>7</v>
      </c>
      <c r="S143" s="241">
        <v>320</v>
      </c>
      <c r="T143" s="243">
        <f>SUM(S143-Q143)</f>
        <v>182</v>
      </c>
      <c r="U143" s="3"/>
      <c r="V143" s="167">
        <f>SUM(E143,F143)</f>
        <v>24</v>
      </c>
      <c r="W143" s="172">
        <f>SUM(G143,H143)</f>
        <v>114</v>
      </c>
      <c r="X143" s="173">
        <f>SUM(I143,J143)</f>
        <v>0</v>
      </c>
      <c r="Y143" s="168">
        <f>SUM(K143,L143,M143,)</f>
        <v>0</v>
      </c>
      <c r="Z143" s="170">
        <f>SUM(N143,O143,P143)</f>
        <v>0</v>
      </c>
      <c r="AK143" s="50" t="str">
        <f t="shared" ref="AK143" si="77">IF(AK142=0, "", IF(MOD(AK142, $D$25) = 0, AK142/ $D$25, IF(INT(AK142 / $D$25) = 0, MOD(AK142, $D$25) &amp; " P", INT(AK142 / $D$25) &amp; " + " &amp; MOD(AK142, $D$25) &amp; " P")))</f>
        <v>2 P</v>
      </c>
    </row>
    <row r="144" spans="2:37" ht="61.8" customHeight="1" thickBot="1">
      <c r="B144" s="193"/>
      <c r="C144" s="160" t="s">
        <v>138</v>
      </c>
      <c r="D144" s="249"/>
      <c r="E144" s="185" t="str">
        <f t="shared" ref="E144:P144" si="78">IF(E143=0, "", IF(MOD(E143, $D$25) = 0, E143/ $D$25, IF(INT(E143 / $D$25) = 0, MOD(E143, $D$25) &amp; " P", INT(E143 / $D$25) &amp; " + " &amp; MOD(E143, $D$25) &amp; " P")))</f>
        <v>9 P</v>
      </c>
      <c r="F144" s="185" t="str">
        <f t="shared" si="78"/>
        <v>15 P</v>
      </c>
      <c r="G144" s="185">
        <f t="shared" si="78"/>
        <v>2</v>
      </c>
      <c r="H144" s="185" t="str">
        <f t="shared" si="78"/>
        <v>2 + 6 P</v>
      </c>
      <c r="I144" s="185" t="str">
        <f t="shared" si="78"/>
        <v/>
      </c>
      <c r="J144" s="185" t="str">
        <f t="shared" si="78"/>
        <v/>
      </c>
      <c r="K144" s="185" t="str">
        <f t="shared" si="78"/>
        <v/>
      </c>
      <c r="L144" s="185" t="str">
        <f t="shared" si="78"/>
        <v/>
      </c>
      <c r="M144" s="185" t="str">
        <f t="shared" si="78"/>
        <v/>
      </c>
      <c r="N144" s="185" t="str">
        <f t="shared" si="78"/>
        <v/>
      </c>
      <c r="O144" s="185" t="str">
        <f t="shared" si="78"/>
        <v/>
      </c>
      <c r="P144" s="185" t="str">
        <f t="shared" si="78"/>
        <v/>
      </c>
      <c r="Q144" s="238"/>
      <c r="R144" s="240"/>
      <c r="S144" s="242"/>
      <c r="T144" s="244"/>
      <c r="U144" s="3"/>
      <c r="V144" s="167"/>
      <c r="W144" s="172"/>
      <c r="X144" s="173"/>
      <c r="Y144" s="168"/>
      <c r="Z144" s="174"/>
      <c r="AK144" s="51">
        <v>74</v>
      </c>
    </row>
    <row r="145" spans="2:37" ht="61.8" customHeight="1" thickBot="1">
      <c r="B145" s="192">
        <v>7</v>
      </c>
      <c r="C145" s="158" t="s">
        <v>63</v>
      </c>
      <c r="D145" s="235">
        <v>36</v>
      </c>
      <c r="E145" s="187">
        <v>11</v>
      </c>
      <c r="F145" s="188">
        <v>17</v>
      </c>
      <c r="G145" s="188">
        <v>220</v>
      </c>
      <c r="H145" s="188">
        <v>61</v>
      </c>
      <c r="I145" s="188"/>
      <c r="J145" s="188"/>
      <c r="K145" s="188"/>
      <c r="L145" s="188"/>
      <c r="M145" s="188"/>
      <c r="N145" s="188"/>
      <c r="O145" s="190"/>
      <c r="P145" s="190"/>
      <c r="Q145" s="237">
        <f>SUM(E145:P145)</f>
        <v>309</v>
      </c>
      <c r="R145" s="239">
        <v>11</v>
      </c>
      <c r="S145" s="241">
        <v>610</v>
      </c>
      <c r="T145" s="243">
        <f>SUM(S145-Q145)</f>
        <v>301</v>
      </c>
      <c r="U145" s="3"/>
      <c r="V145" s="167">
        <f>SUM(E145,F145)</f>
        <v>28</v>
      </c>
      <c r="W145" s="168">
        <f>SUM(G145,H145)</f>
        <v>281</v>
      </c>
      <c r="X145" s="169">
        <f>SUM(I145,J145)</f>
        <v>0</v>
      </c>
      <c r="Y145" s="168">
        <f>SUM(K145,L145,M145,)</f>
        <v>0</v>
      </c>
      <c r="Z145" s="170">
        <f>SUM(N145,O145,P145)</f>
        <v>0</v>
      </c>
      <c r="AK145" s="45" t="str">
        <f>IF(AK144=0, "", IF(MOD(AK144, $D$27) = 0, AK144/ $D$27, IF(INT(AK144 / $D$27) = 0, MOD(AK144, $D$27) &amp; " P", INT(AK144 / $D$27) &amp; " + " &amp; MOD(AK144, $D$27) &amp; " P")))</f>
        <v>2 + 2 P</v>
      </c>
    </row>
    <row r="146" spans="2:37" ht="61.8" customHeight="1" thickBot="1">
      <c r="B146" s="193"/>
      <c r="C146" s="160" t="s">
        <v>113</v>
      </c>
      <c r="D146" s="236"/>
      <c r="E146" s="185" t="str">
        <f t="shared" ref="E146:P146" si="79">IF(E145=0, "", IF(MOD(E145, $D$27) = 0, E145/ $D$27, IF(INT(E145 / $D$27) = 0, MOD(E145, $D$27) &amp; " P", INT(E145 / $D$27) &amp; " + " &amp; MOD(E145, $D$27) &amp; " P")))</f>
        <v>11 P</v>
      </c>
      <c r="F146" s="185" t="str">
        <f t="shared" si="79"/>
        <v>17 P</v>
      </c>
      <c r="G146" s="185" t="str">
        <f t="shared" si="79"/>
        <v>6 + 4 P</v>
      </c>
      <c r="H146" s="185" t="str">
        <f t="shared" si="79"/>
        <v>1 + 25 P</v>
      </c>
      <c r="I146" s="185" t="str">
        <f t="shared" si="79"/>
        <v/>
      </c>
      <c r="J146" s="185" t="str">
        <f t="shared" si="79"/>
        <v/>
      </c>
      <c r="K146" s="185" t="str">
        <f t="shared" si="79"/>
        <v/>
      </c>
      <c r="L146" s="185" t="str">
        <f t="shared" si="79"/>
        <v/>
      </c>
      <c r="M146" s="185" t="str">
        <f t="shared" si="79"/>
        <v/>
      </c>
      <c r="N146" s="185" t="str">
        <f t="shared" si="79"/>
        <v/>
      </c>
      <c r="O146" s="185" t="str">
        <f t="shared" si="79"/>
        <v/>
      </c>
      <c r="P146" s="185" t="str">
        <f t="shared" si="79"/>
        <v/>
      </c>
      <c r="Q146" s="238"/>
      <c r="R146" s="240"/>
      <c r="S146" s="242"/>
      <c r="T146" s="244"/>
      <c r="U146" s="3"/>
      <c r="V146" s="167"/>
      <c r="W146" s="172"/>
      <c r="X146" s="173"/>
      <c r="Y146" s="168"/>
      <c r="Z146" s="174"/>
      <c r="AK146" s="46">
        <v>34</v>
      </c>
    </row>
    <row r="147" spans="2:37" ht="61.8" customHeight="1" thickBot="1">
      <c r="B147" s="192">
        <v>8</v>
      </c>
      <c r="C147" s="156" t="s">
        <v>104</v>
      </c>
      <c r="D147" s="235">
        <v>20</v>
      </c>
      <c r="E147" s="187">
        <v>6</v>
      </c>
      <c r="F147" s="189">
        <v>10</v>
      </c>
      <c r="G147" s="188">
        <v>31</v>
      </c>
      <c r="H147" s="188">
        <v>13</v>
      </c>
      <c r="I147" s="188"/>
      <c r="J147" s="188"/>
      <c r="K147" s="188"/>
      <c r="L147" s="188"/>
      <c r="M147" s="188"/>
      <c r="N147" s="188"/>
      <c r="O147" s="190"/>
      <c r="P147" s="190"/>
      <c r="Q147" s="237">
        <f>SUM(E147:P147)</f>
        <v>60</v>
      </c>
      <c r="R147" s="247">
        <v>5</v>
      </c>
      <c r="S147" s="241">
        <v>160</v>
      </c>
      <c r="T147" s="243">
        <f>SUM(S147-Q147)</f>
        <v>100</v>
      </c>
      <c r="U147" s="3"/>
      <c r="V147" s="167">
        <f>SUM(E147,F147)</f>
        <v>16</v>
      </c>
      <c r="W147" s="168">
        <f>SUM(G147,H147)</f>
        <v>44</v>
      </c>
      <c r="X147" s="169">
        <f>SUM(I147,J147)</f>
        <v>0</v>
      </c>
      <c r="Y147" s="168">
        <f>SUM(K147,L147,M147,)</f>
        <v>0</v>
      </c>
      <c r="Z147" s="170">
        <f>SUM(N147,O147,P147)</f>
        <v>0</v>
      </c>
      <c r="AK147" s="45" t="str">
        <f t="shared" ref="AK147:AK149" si="80">IF(AK146=0, "", IF(MOD(AK146, $D$29) = 0, AK146/ $D$29, IF(INT(AK146 / $D$29) = 0, MOD(AK146, $D$29) &amp; " P", INT(AK146 / $D$29) &amp; " + " &amp; MOD(AK146, $D$29) &amp; " P")))</f>
        <v>1 + 14 P</v>
      </c>
    </row>
    <row r="148" spans="2:37" ht="61.8" customHeight="1" thickBot="1">
      <c r="B148" s="193"/>
      <c r="C148" s="161" t="s">
        <v>107</v>
      </c>
      <c r="D148" s="236"/>
      <c r="E148" s="185" t="str">
        <f>IF(E147=0, "", IF(MOD(E147, $D$29) = 0, E147/ $D$29, IF(INT(E147 / $D$29) = 0, MOD(E147, $D$29) &amp; " P", INT(E147 / $D$29) &amp; " + " &amp; MOD(E147, $D$29) &amp; " P")))</f>
        <v>6 P</v>
      </c>
      <c r="F148" s="185" t="str">
        <f t="shared" ref="F148:P148" si="81">IF(F147=0, "", IF(MOD(F147, $D$29) = 0, F147/ $D$29, IF(INT(F147 / $D$29) = 0, MOD(F147, $D$29) &amp; " P", INT(F147 / $D$29) &amp; " + " &amp; MOD(F147, $D$29) &amp; " P")))</f>
        <v>10 P</v>
      </c>
      <c r="G148" s="185" t="str">
        <f t="shared" si="81"/>
        <v>1 + 11 P</v>
      </c>
      <c r="H148" s="185" t="str">
        <f t="shared" si="81"/>
        <v>13 P</v>
      </c>
      <c r="I148" s="185" t="str">
        <f t="shared" si="81"/>
        <v/>
      </c>
      <c r="J148" s="185" t="str">
        <f t="shared" si="81"/>
        <v/>
      </c>
      <c r="K148" s="185" t="str">
        <f t="shared" si="81"/>
        <v/>
      </c>
      <c r="L148" s="185" t="str">
        <f t="shared" si="81"/>
        <v/>
      </c>
      <c r="M148" s="185" t="str">
        <f t="shared" si="81"/>
        <v/>
      </c>
      <c r="N148" s="185" t="str">
        <f t="shared" si="81"/>
        <v/>
      </c>
      <c r="O148" s="185" t="str">
        <f t="shared" si="81"/>
        <v/>
      </c>
      <c r="P148" s="185" t="str">
        <f t="shared" si="81"/>
        <v/>
      </c>
      <c r="Q148" s="238"/>
      <c r="R148" s="240"/>
      <c r="S148" s="242"/>
      <c r="T148" s="244"/>
      <c r="U148" s="3"/>
      <c r="V148" s="167"/>
      <c r="W148" s="172"/>
      <c r="X148" s="173"/>
      <c r="Y148" s="168"/>
      <c r="Z148" s="174"/>
      <c r="AK148" s="46">
        <v>33</v>
      </c>
    </row>
    <row r="149" spans="2:37" ht="61.8" customHeight="1" thickBot="1">
      <c r="B149" s="192">
        <v>9</v>
      </c>
      <c r="C149" s="158" t="s">
        <v>128</v>
      </c>
      <c r="D149" s="235">
        <v>15</v>
      </c>
      <c r="E149" s="187">
        <v>0</v>
      </c>
      <c r="F149" s="188">
        <v>4</v>
      </c>
      <c r="G149" s="188">
        <v>38</v>
      </c>
      <c r="H149" s="188">
        <v>27</v>
      </c>
      <c r="I149" s="188"/>
      <c r="J149" s="188"/>
      <c r="K149" s="188"/>
      <c r="L149" s="188"/>
      <c r="M149" s="188"/>
      <c r="N149" s="188"/>
      <c r="O149" s="190"/>
      <c r="P149" s="190"/>
      <c r="Q149" s="237">
        <f>SUM(E149:P149)</f>
        <v>69</v>
      </c>
      <c r="R149" s="247">
        <v>6</v>
      </c>
      <c r="S149" s="241">
        <v>150</v>
      </c>
      <c r="T149" s="243">
        <f>SUM(S149-Q149)</f>
        <v>81</v>
      </c>
      <c r="U149" s="3"/>
      <c r="V149" s="167">
        <f>SUM(E149,F149)</f>
        <v>4</v>
      </c>
      <c r="W149" s="168">
        <f>SUM(G149,H149)</f>
        <v>65</v>
      </c>
      <c r="X149" s="169">
        <f>SUM(I149,J149)</f>
        <v>0</v>
      </c>
      <c r="Y149" s="168">
        <f>SUM(K149,L149,M149,)</f>
        <v>0</v>
      </c>
      <c r="Z149" s="170">
        <f>SUM(N149,O149,P149)</f>
        <v>0</v>
      </c>
      <c r="AK149" s="45" t="str">
        <f t="shared" si="80"/>
        <v>1 + 13 P</v>
      </c>
    </row>
    <row r="150" spans="2:37" ht="61.8" customHeight="1" thickBot="1">
      <c r="B150" s="193"/>
      <c r="C150" s="160" t="s">
        <v>129</v>
      </c>
      <c r="D150" s="236"/>
      <c r="E150" s="185" t="str">
        <f>IF(E149=0, "", IF(MOD(E149, $D$31) = 0, E149/ $D$31, IF(INT(E149 / $D$31) = 0, MOD(E149, $D$31) &amp; " P", INT(E149 / $D$31) &amp; " + " &amp; MOD(E149, $D$31) &amp; " P")))</f>
        <v/>
      </c>
      <c r="F150" s="185" t="str">
        <f t="shared" ref="F150:P150" si="82">IF(F149=0, "", IF(MOD(F149, $D$31) = 0, F149/ $D$31, IF(INT(F149 / $D$31) = 0, MOD(F149, $D$31) &amp; " P", INT(F149 / $D$31) &amp; " + " &amp; MOD(F149, $D$31) &amp; " P")))</f>
        <v>4 P</v>
      </c>
      <c r="G150" s="185" t="str">
        <f t="shared" si="82"/>
        <v>2 + 8 P</v>
      </c>
      <c r="H150" s="185" t="str">
        <f t="shared" si="82"/>
        <v>1 + 12 P</v>
      </c>
      <c r="I150" s="185" t="str">
        <f t="shared" si="82"/>
        <v/>
      </c>
      <c r="J150" s="185" t="str">
        <f t="shared" si="82"/>
        <v/>
      </c>
      <c r="K150" s="185" t="str">
        <f t="shared" si="82"/>
        <v/>
      </c>
      <c r="L150" s="185" t="str">
        <f t="shared" si="82"/>
        <v/>
      </c>
      <c r="M150" s="185" t="str">
        <f t="shared" si="82"/>
        <v/>
      </c>
      <c r="N150" s="185" t="str">
        <f t="shared" si="82"/>
        <v/>
      </c>
      <c r="O150" s="185" t="str">
        <f t="shared" si="82"/>
        <v/>
      </c>
      <c r="P150" s="185" t="str">
        <f t="shared" si="82"/>
        <v/>
      </c>
      <c r="Q150" s="238"/>
      <c r="R150" s="240"/>
      <c r="S150" s="242"/>
      <c r="T150" s="244"/>
      <c r="U150" s="3"/>
      <c r="V150" s="167"/>
      <c r="W150" s="172"/>
      <c r="X150" s="173"/>
      <c r="Y150" s="168"/>
      <c r="Z150" s="174"/>
      <c r="AK150" s="46">
        <v>33</v>
      </c>
    </row>
    <row r="151" spans="2:37" ht="61.8" customHeight="1" thickBot="1">
      <c r="B151" s="192">
        <v>10</v>
      </c>
      <c r="C151" s="158" t="s">
        <v>64</v>
      </c>
      <c r="D151" s="235">
        <v>45</v>
      </c>
      <c r="E151" s="187">
        <v>0</v>
      </c>
      <c r="F151" s="188">
        <v>2</v>
      </c>
      <c r="G151" s="188">
        <v>3</v>
      </c>
      <c r="H151" s="188">
        <v>12</v>
      </c>
      <c r="I151" s="188"/>
      <c r="J151" s="188"/>
      <c r="K151" s="188"/>
      <c r="L151" s="188"/>
      <c r="M151" s="189"/>
      <c r="N151" s="189"/>
      <c r="O151" s="191"/>
      <c r="P151" s="191"/>
      <c r="Q151" s="237">
        <f>SUM(E151:P151)</f>
        <v>17</v>
      </c>
      <c r="R151" s="239">
        <v>3</v>
      </c>
      <c r="S151" s="241">
        <v>50</v>
      </c>
      <c r="T151" s="243">
        <f t="shared" ref="T151" si="83">SUM(S151-Q151)</f>
        <v>33</v>
      </c>
      <c r="U151" s="3"/>
      <c r="V151" s="167">
        <f>SUM(E151,F151)</f>
        <v>2</v>
      </c>
      <c r="W151" s="168">
        <f>SUM(G151,H151)</f>
        <v>15</v>
      </c>
      <c r="X151" s="169">
        <f>SUM(I151,J151)</f>
        <v>0</v>
      </c>
      <c r="Y151" s="168">
        <f>SUM(K151,L151,M151,)</f>
        <v>0</v>
      </c>
      <c r="Z151" s="170">
        <f>SUM(N151,O151,P151)</f>
        <v>0</v>
      </c>
      <c r="AK151" s="45" t="str">
        <f>IF(AK146=0, "", IF(MOD(AK146, $D$35) = 0, AK146/ $D$35, IF(INT(AK146 / $D$35) = 0, MOD(AK146, $D$35) &amp; " P", INT(AK146 / $D$35) &amp; " + " &amp; MOD(AK146, $D$35) &amp; " P")))</f>
        <v>2 + 4 P</v>
      </c>
    </row>
    <row r="152" spans="2:37" ht="61.8" customHeight="1" thickBot="1">
      <c r="B152" s="193"/>
      <c r="C152" s="161" t="s">
        <v>114</v>
      </c>
      <c r="D152" s="236"/>
      <c r="E152" s="185" t="str">
        <f>IF(E151=0, "", IF(MOD(E151, $D$33) = 0, E151/ $D$33, IF(INT(E151 / $D$33) = 0, MOD(E151, $D$33) &amp; " P", INT(E151 / $D$33) &amp; " + " &amp; MOD(E151, $D$33) &amp; " P")))</f>
        <v/>
      </c>
      <c r="F152" s="185" t="str">
        <f t="shared" ref="F152:L152" si="84">IF(F151=0, "", IF(MOD(F151, $D$33) = 0, F151/ $D$33, IF(INT(F151 / $D$33) = 0, MOD(F151, $D$33) &amp; " P", INT(F151 / $D$33) &amp; " + " &amp; MOD(F151, $D$33) &amp; " P")))</f>
        <v>2 P</v>
      </c>
      <c r="G152" s="185" t="str">
        <f t="shared" si="84"/>
        <v>3 P</v>
      </c>
      <c r="H152" s="185" t="str">
        <f t="shared" si="84"/>
        <v>12 P</v>
      </c>
      <c r="I152" s="185" t="str">
        <f t="shared" si="84"/>
        <v/>
      </c>
      <c r="J152" s="185" t="str">
        <f t="shared" si="84"/>
        <v/>
      </c>
      <c r="K152" s="185" t="str">
        <f t="shared" si="84"/>
        <v/>
      </c>
      <c r="L152" s="185" t="str">
        <f t="shared" si="84"/>
        <v/>
      </c>
      <c r="M152" s="185" t="str">
        <f>IF(M151=0, "", IF(MOD(M151, $D$33) = 0, M151/ $D$33, IF(INT(M151 / $D$33) = 0, MOD(M151, $D$33) &amp; " P", INT(M151 / $D$33) &amp; " + " &amp; MOD(M151, $D$33) &amp; " P")))</f>
        <v/>
      </c>
      <c r="N152" s="185" t="str">
        <f>IF(N151=0, "", IF(MOD(N151, $D$33) = 0, N151/ $D$33, IF(INT(N151 / $D$33) = 0, MOD(N151, $D$33) &amp; " P", INT(N151 / $D$33) &amp; " + " &amp; MOD(N151, $D$33) &amp; " P")))</f>
        <v/>
      </c>
      <c r="O152" s="185" t="str">
        <f t="shared" ref="O152:P152" si="85">IF(O151=0, "", IF(MOD(O151, $D$33) = 0, O151/ $D$33, IF(INT(O151 / $D$33) = 0, MOD(O151, $D$33) &amp; " P", INT(O151 / $D$33) &amp; " + " &amp; MOD(O151, $D$33) &amp; " P")))</f>
        <v/>
      </c>
      <c r="P152" s="185" t="str">
        <f t="shared" si="85"/>
        <v/>
      </c>
      <c r="Q152" s="238"/>
      <c r="R152" s="240"/>
      <c r="S152" s="242"/>
      <c r="T152" s="244"/>
      <c r="U152" s="3"/>
      <c r="V152" s="167"/>
      <c r="W152" s="172"/>
      <c r="X152" s="173"/>
      <c r="Y152" s="168"/>
      <c r="Z152" s="174"/>
    </row>
    <row r="153" spans="2:37" ht="61.8" customHeight="1" thickBot="1">
      <c r="B153" s="192">
        <v>11</v>
      </c>
      <c r="C153" s="158" t="s">
        <v>132</v>
      </c>
      <c r="D153" s="235">
        <v>15</v>
      </c>
      <c r="E153" s="182">
        <v>7</v>
      </c>
      <c r="F153" s="182">
        <v>13</v>
      </c>
      <c r="G153" s="182">
        <v>12</v>
      </c>
      <c r="H153" s="182">
        <v>23</v>
      </c>
      <c r="I153" s="182"/>
      <c r="J153" s="182"/>
      <c r="K153" s="182"/>
      <c r="L153" s="182"/>
      <c r="M153" s="182"/>
      <c r="N153" s="182"/>
      <c r="O153" s="182"/>
      <c r="P153" s="182"/>
      <c r="Q153" s="237">
        <f>SUM(E153:P153)</f>
        <v>55</v>
      </c>
      <c r="R153" s="239">
        <v>5</v>
      </c>
      <c r="S153" s="241">
        <v>110</v>
      </c>
      <c r="T153" s="243">
        <f t="shared" ref="T153" si="86">SUM(S153-Q153)</f>
        <v>55</v>
      </c>
      <c r="U153" s="3"/>
      <c r="V153" s="167">
        <f>SUM(E153,F153)</f>
        <v>20</v>
      </c>
      <c r="W153" s="168">
        <f>SUM(G153,H153)</f>
        <v>35</v>
      </c>
      <c r="X153" s="169">
        <f>SUM(I153,J153)</f>
        <v>0</v>
      </c>
      <c r="Y153" s="168">
        <f>SUM(K153,L153,M153,)</f>
        <v>0</v>
      </c>
      <c r="Z153" s="170">
        <f>SUM(N153,O153,P153)</f>
        <v>0</v>
      </c>
      <c r="AK153" s="45" t="str">
        <f>IF(AK148=0, "", IF(MOD(AK148, $D$35) = 0, AK148/ $D$35, IF(INT(AK148 / $D$35) = 0, MOD(AK148, $D$35) &amp; " P", INT(AK148 / $D$35) &amp; " + " &amp; MOD(AK148, $D$35) &amp; " P")))</f>
        <v>2 + 3 P</v>
      </c>
    </row>
    <row r="154" spans="2:37" ht="61.8" customHeight="1" thickBot="1">
      <c r="B154" s="193"/>
      <c r="C154" s="161" t="s">
        <v>133</v>
      </c>
      <c r="D154" s="236"/>
      <c r="E154" s="185" t="str">
        <f>IF(E153=0, "", IF(MOD(E153, $D$35) = 0, E153/ $D$35, IF(INT(E153 / $D$35) = 0, MOD(E153, $D$35) &amp; " P", INT(E153 / $D$35) &amp; " + " &amp; MOD(E153, $D$35) &amp; " P")))</f>
        <v>7 P</v>
      </c>
      <c r="F154" s="185" t="str">
        <f t="shared" ref="F154:P154" si="87">IF(F153=0, "", IF(MOD(F153, $D$35) = 0, F153/ $D$35, IF(INT(F153 / $D$35) = 0, MOD(F153, $D$35) &amp; " P", INT(F153 / $D$35) &amp; " + " &amp; MOD(F153, $D$35) &amp; " P")))</f>
        <v>13 P</v>
      </c>
      <c r="G154" s="185" t="str">
        <f t="shared" si="87"/>
        <v>12 P</v>
      </c>
      <c r="H154" s="185" t="str">
        <f t="shared" si="87"/>
        <v>1 + 8 P</v>
      </c>
      <c r="I154" s="185" t="str">
        <f t="shared" si="87"/>
        <v/>
      </c>
      <c r="J154" s="185" t="str">
        <f t="shared" si="87"/>
        <v/>
      </c>
      <c r="K154" s="185" t="str">
        <f t="shared" si="87"/>
        <v/>
      </c>
      <c r="L154" s="185" t="str">
        <f t="shared" si="87"/>
        <v/>
      </c>
      <c r="M154" s="185" t="str">
        <f t="shared" si="87"/>
        <v/>
      </c>
      <c r="N154" s="185" t="str">
        <f t="shared" si="87"/>
        <v/>
      </c>
      <c r="O154" s="185" t="str">
        <f t="shared" si="87"/>
        <v/>
      </c>
      <c r="P154" s="185" t="str">
        <f t="shared" si="87"/>
        <v/>
      </c>
      <c r="Q154" s="238"/>
      <c r="R154" s="240"/>
      <c r="S154" s="242"/>
      <c r="T154" s="244"/>
      <c r="U154" s="3"/>
      <c r="V154" s="167"/>
      <c r="W154" s="172"/>
      <c r="X154" s="173"/>
      <c r="Y154" s="168"/>
      <c r="Z154" s="174"/>
    </row>
    <row r="155" spans="2:37" ht="61.8" customHeight="1" thickBot="1">
      <c r="B155" s="192">
        <v>12</v>
      </c>
      <c r="C155" s="158" t="s">
        <v>147</v>
      </c>
      <c r="D155" s="235">
        <v>27</v>
      </c>
      <c r="E155" s="182">
        <v>1130</v>
      </c>
      <c r="F155" s="182">
        <v>1258</v>
      </c>
      <c r="G155" s="182">
        <v>0</v>
      </c>
      <c r="H155" s="182">
        <v>0</v>
      </c>
      <c r="I155" s="182"/>
      <c r="J155" s="182"/>
      <c r="K155" s="182"/>
      <c r="L155" s="182"/>
      <c r="M155" s="182"/>
      <c r="N155" s="182"/>
      <c r="O155" s="182"/>
      <c r="P155" s="182"/>
      <c r="Q155" s="237">
        <f>SUM(E155:P155)</f>
        <v>2388</v>
      </c>
      <c r="R155" s="239">
        <v>89</v>
      </c>
      <c r="S155" s="241">
        <v>3816</v>
      </c>
      <c r="T155" s="243">
        <f t="shared" ref="T155" si="88">SUM(S155-Q155)</f>
        <v>1428</v>
      </c>
      <c r="U155" s="3"/>
      <c r="V155" s="167">
        <f>SUM(E155,F155)</f>
        <v>2388</v>
      </c>
      <c r="W155" s="168">
        <f>SUM(G155,H155)</f>
        <v>0</v>
      </c>
      <c r="X155" s="169">
        <f>SUM(I155,J155)</f>
        <v>0</v>
      </c>
      <c r="Y155" s="168">
        <f>SUM(K155,L155,M155,)</f>
        <v>0</v>
      </c>
      <c r="Z155" s="170">
        <f>SUM(N155,O155,P155)</f>
        <v>0</v>
      </c>
      <c r="AK155" s="45" t="str">
        <f>IF(AK150=0, "", IF(MOD(AK150, $D$35) = 0, AK150/ $D$35, IF(INT(AK150 / $D$35) = 0, MOD(AK150, $D$35) &amp; " P", INT(AK150 / $D$35) &amp; " + " &amp; MOD(AK150, $D$35) &amp; " P")))</f>
        <v>2 + 3 P</v>
      </c>
    </row>
    <row r="156" spans="2:37" ht="61.8" customHeight="1" thickBot="1">
      <c r="B156" s="193"/>
      <c r="C156" s="161" t="s">
        <v>146</v>
      </c>
      <c r="D156" s="236"/>
      <c r="E156" s="185" t="str">
        <f>IF(E155=0, "", IF(MOD(E155, $D$37) = 0, E155/ $D$37, IF(INT(E155 / $D$37) = 0, MOD(E155, $D$37) &amp; " P", INT(E155 / $D$37) &amp; " + " &amp; MOD(E155, $D$37) &amp; " P")))</f>
        <v>41 + 23 P</v>
      </c>
      <c r="F156" s="185" t="str">
        <f t="shared" ref="F156:P156" si="89">IF(F155=0, "", IF(MOD(F155, $D$37) = 0, F155/ $D$37, IF(INT(F155 / $D$37) = 0, MOD(F155, $D$37) &amp; " P", INT(F155 / $D$37) &amp; " + " &amp; MOD(F155, $D$37) &amp; " P")))</f>
        <v>46 + 16 P</v>
      </c>
      <c r="G156" s="185" t="str">
        <f t="shared" si="89"/>
        <v/>
      </c>
      <c r="H156" s="185" t="str">
        <f t="shared" si="89"/>
        <v/>
      </c>
      <c r="I156" s="185" t="str">
        <f t="shared" si="89"/>
        <v/>
      </c>
      <c r="J156" s="185" t="str">
        <f t="shared" si="89"/>
        <v/>
      </c>
      <c r="K156" s="185" t="str">
        <f t="shared" si="89"/>
        <v/>
      </c>
      <c r="L156" s="185" t="str">
        <f t="shared" si="89"/>
        <v/>
      </c>
      <c r="M156" s="185" t="str">
        <f t="shared" si="89"/>
        <v/>
      </c>
      <c r="N156" s="185" t="str">
        <f t="shared" si="89"/>
        <v/>
      </c>
      <c r="O156" s="185" t="str">
        <f t="shared" si="89"/>
        <v/>
      </c>
      <c r="P156" s="185" t="str">
        <f t="shared" si="89"/>
        <v/>
      </c>
      <c r="Q156" s="238"/>
      <c r="R156" s="240"/>
      <c r="S156" s="242"/>
      <c r="T156" s="244"/>
      <c r="U156" s="3"/>
      <c r="V156" s="167"/>
      <c r="W156" s="172"/>
      <c r="X156" s="173"/>
      <c r="Y156" s="168"/>
      <c r="Z156" s="174"/>
    </row>
    <row r="157" spans="2:37" ht="61.8" customHeight="1" thickBot="1">
      <c r="B157" s="192">
        <v>13</v>
      </c>
      <c r="C157" s="158" t="s">
        <v>109</v>
      </c>
      <c r="D157" s="235">
        <v>15</v>
      </c>
      <c r="E157" s="182">
        <v>3</v>
      </c>
      <c r="F157" s="182">
        <v>1</v>
      </c>
      <c r="G157" s="182">
        <v>6</v>
      </c>
      <c r="H157" s="182">
        <v>13</v>
      </c>
      <c r="I157" s="182"/>
      <c r="J157" s="182"/>
      <c r="K157" s="182"/>
      <c r="L157" s="182"/>
      <c r="M157" s="182"/>
      <c r="N157" s="182"/>
      <c r="O157" s="182"/>
      <c r="P157" s="182"/>
      <c r="Q157" s="237">
        <f>SUM(E157:P157)</f>
        <v>23</v>
      </c>
      <c r="R157" s="239">
        <v>4</v>
      </c>
      <c r="S157" s="241">
        <v>90</v>
      </c>
      <c r="T157" s="243">
        <f t="shared" ref="T157" si="90">SUM(S157-Q157)</f>
        <v>67</v>
      </c>
      <c r="U157" s="3"/>
      <c r="V157" s="167">
        <f>SUM(E157,F157)</f>
        <v>4</v>
      </c>
      <c r="W157" s="168">
        <f>SUM(G157,H157)</f>
        <v>19</v>
      </c>
      <c r="X157" s="169">
        <f>SUM(I157,J157)</f>
        <v>0</v>
      </c>
      <c r="Y157" s="168">
        <f>SUM(K157,L157,M157,)</f>
        <v>0</v>
      </c>
      <c r="Z157" s="170">
        <f>SUM(N157,O157,P157)</f>
        <v>0</v>
      </c>
      <c r="AK157" s="45" t="str">
        <f>IF(AK152=0, "", IF(MOD(AK152, $D$35) = 0, AK152/ $D$35, IF(INT(AK152 / $D$35) = 0, MOD(AK152, $D$35) &amp; " P", INT(AK152 / $D$35) &amp; " + " &amp; MOD(AK152, $D$35) &amp; " P")))</f>
        <v/>
      </c>
    </row>
    <row r="158" spans="2:37" ht="61.8" customHeight="1" thickBot="1">
      <c r="B158" s="193"/>
      <c r="C158" s="161" t="s">
        <v>118</v>
      </c>
      <c r="D158" s="236"/>
      <c r="E158" s="185" t="str">
        <f>IF(E157=0, "", IF(MOD(E157, $D$39) = 0, E157/ $D$39, IF(INT(E157 / $D$39) = 0, MOD(E157, $D$39) &amp; " P", INT(E157 / $D$39) &amp; " + " &amp; MOD(E157, $D$39) &amp; " P")))</f>
        <v>3 P</v>
      </c>
      <c r="F158" s="185" t="str">
        <f t="shared" ref="F158:P158" si="91">IF(F157=0, "", IF(MOD(F157, $D$39) = 0, F157/ $D$39, IF(INT(F157 / $D$39) = 0, MOD(F157, $D$39) &amp; " P", INT(F157 / $D$39) &amp; " + " &amp; MOD(F157, $D$39) &amp; " P")))</f>
        <v>1 P</v>
      </c>
      <c r="G158" s="185" t="str">
        <f t="shared" si="91"/>
        <v>6 P</v>
      </c>
      <c r="H158" s="185" t="str">
        <f t="shared" si="91"/>
        <v>13 P</v>
      </c>
      <c r="I158" s="185" t="str">
        <f t="shared" si="91"/>
        <v/>
      </c>
      <c r="J158" s="185" t="str">
        <f t="shared" si="91"/>
        <v/>
      </c>
      <c r="K158" s="185" t="str">
        <f t="shared" si="91"/>
        <v/>
      </c>
      <c r="L158" s="185" t="str">
        <f t="shared" si="91"/>
        <v/>
      </c>
      <c r="M158" s="185" t="str">
        <f t="shared" si="91"/>
        <v/>
      </c>
      <c r="N158" s="185" t="str">
        <f t="shared" si="91"/>
        <v/>
      </c>
      <c r="O158" s="185" t="str">
        <f t="shared" si="91"/>
        <v/>
      </c>
      <c r="P158" s="185" t="str">
        <f t="shared" si="91"/>
        <v/>
      </c>
      <c r="Q158" s="238"/>
      <c r="R158" s="240"/>
      <c r="S158" s="242"/>
      <c r="T158" s="244"/>
      <c r="U158" s="3"/>
      <c r="V158" s="167"/>
      <c r="W158" s="172"/>
      <c r="X158" s="173"/>
      <c r="Y158" s="168"/>
      <c r="Z158" s="174"/>
    </row>
    <row r="159" spans="2:37" ht="61.8" customHeight="1" thickBot="1">
      <c r="B159" s="192">
        <v>14</v>
      </c>
      <c r="C159" s="158" t="s">
        <v>130</v>
      </c>
      <c r="D159" s="235">
        <v>27</v>
      </c>
      <c r="E159" s="182">
        <v>5</v>
      </c>
      <c r="F159" s="182">
        <v>16</v>
      </c>
      <c r="G159" s="182">
        <v>30</v>
      </c>
      <c r="H159" s="182">
        <v>39</v>
      </c>
      <c r="I159" s="182"/>
      <c r="J159" s="182"/>
      <c r="K159" s="182"/>
      <c r="L159" s="182"/>
      <c r="M159" s="182"/>
      <c r="N159" s="182"/>
      <c r="O159" s="182"/>
      <c r="P159" s="182"/>
      <c r="Q159" s="237">
        <f>SUM(E159:P159)</f>
        <v>90</v>
      </c>
      <c r="R159" s="239">
        <v>6</v>
      </c>
      <c r="S159" s="241">
        <v>250</v>
      </c>
      <c r="T159" s="243">
        <f t="shared" ref="T159" si="92">SUM(S159-Q159)</f>
        <v>160</v>
      </c>
      <c r="U159" s="3"/>
      <c r="V159" s="167">
        <f>SUM(E159,F159)</f>
        <v>21</v>
      </c>
      <c r="W159" s="168">
        <f>SUM(G159,H159)</f>
        <v>69</v>
      </c>
      <c r="X159" s="169">
        <f>SUM(I159,J159)</f>
        <v>0</v>
      </c>
      <c r="Y159" s="168">
        <f>SUM(K159,L159,M159,)</f>
        <v>0</v>
      </c>
      <c r="Z159" s="170">
        <f>SUM(N159,O159,P159)</f>
        <v>0</v>
      </c>
      <c r="AK159" s="45" t="str">
        <f>IF(AK154=0, "", IF(MOD(AK154, $D$35) = 0, AK154/ $D$35, IF(INT(AK154 / $D$35) = 0, MOD(AK154, $D$35) &amp; " P", INT(AK154 / $D$35) &amp; " + " &amp; MOD(AK154, $D$35) &amp; " P")))</f>
        <v/>
      </c>
    </row>
    <row r="160" spans="2:37" ht="61.8" customHeight="1" thickBot="1">
      <c r="B160" s="193"/>
      <c r="C160" s="161" t="s">
        <v>131</v>
      </c>
      <c r="D160" s="236"/>
      <c r="E160" s="185" t="str">
        <f>IF(E159=0, "", IF(MOD(E159, $D$41) = 0, E159/ $D$41, IF(INT(E159 / $D$41) = 0, MOD(E159, $D$41) &amp; " P", INT(E159 / $D$41) &amp; " + " &amp; MOD(E159, $D$41) &amp; " P")))</f>
        <v>5 P</v>
      </c>
      <c r="F160" s="185" t="str">
        <f t="shared" ref="F160:P160" si="93">IF(F159=0, "", IF(MOD(F159, $D$41) = 0, F159/ $D$41, IF(INT(F159 / $D$41) = 0, MOD(F159, $D$41) &amp; " P", INT(F159 / $D$41) &amp; " + " &amp; MOD(F159, $D$41) &amp; " P")))</f>
        <v>16 P</v>
      </c>
      <c r="G160" s="185" t="str">
        <f t="shared" si="93"/>
        <v>1 + 3 P</v>
      </c>
      <c r="H160" s="185" t="str">
        <f t="shared" si="93"/>
        <v>1 + 12 P</v>
      </c>
      <c r="I160" s="185" t="str">
        <f t="shared" si="93"/>
        <v/>
      </c>
      <c r="J160" s="185" t="str">
        <f t="shared" si="93"/>
        <v/>
      </c>
      <c r="K160" s="185" t="str">
        <f t="shared" si="93"/>
        <v/>
      </c>
      <c r="L160" s="185" t="str">
        <f t="shared" si="93"/>
        <v/>
      </c>
      <c r="M160" s="185" t="str">
        <f t="shared" si="93"/>
        <v/>
      </c>
      <c r="N160" s="185" t="str">
        <f t="shared" si="93"/>
        <v/>
      </c>
      <c r="O160" s="185" t="str">
        <f t="shared" si="93"/>
        <v/>
      </c>
      <c r="P160" s="185" t="str">
        <f t="shared" si="93"/>
        <v/>
      </c>
      <c r="Q160" s="238"/>
      <c r="R160" s="240"/>
      <c r="S160" s="242"/>
      <c r="T160" s="244"/>
      <c r="U160" s="3"/>
      <c r="V160" s="167"/>
      <c r="W160" s="172"/>
      <c r="X160" s="173"/>
      <c r="Y160" s="168"/>
      <c r="Z160" s="174"/>
    </row>
    <row r="161" spans="2:37" ht="61.8" customHeight="1" thickBot="1">
      <c r="B161" s="192">
        <v>15</v>
      </c>
      <c r="C161" s="158" t="s">
        <v>65</v>
      </c>
      <c r="D161" s="235">
        <v>20</v>
      </c>
      <c r="E161" s="182">
        <v>14</v>
      </c>
      <c r="F161" s="182">
        <v>19</v>
      </c>
      <c r="G161" s="182">
        <v>108</v>
      </c>
      <c r="H161" s="182">
        <v>56</v>
      </c>
      <c r="I161" s="182"/>
      <c r="J161" s="182"/>
      <c r="K161" s="182"/>
      <c r="L161" s="182"/>
      <c r="M161" s="182"/>
      <c r="N161" s="182"/>
      <c r="O161" s="182"/>
      <c r="P161" s="182"/>
      <c r="Q161" s="237">
        <f>SUM(E161:P161)</f>
        <v>197</v>
      </c>
      <c r="R161" s="239">
        <v>11</v>
      </c>
      <c r="S161" s="241">
        <v>400</v>
      </c>
      <c r="T161" s="243">
        <f t="shared" ref="T161" si="94">SUM(S161-Q161)</f>
        <v>203</v>
      </c>
      <c r="U161" s="3"/>
      <c r="V161" s="167">
        <f>SUM(E161,F161)</f>
        <v>33</v>
      </c>
      <c r="W161" s="168">
        <f>SUM(G161,H161)</f>
        <v>164</v>
      </c>
      <c r="X161" s="169">
        <f>SUM(I161,J161)</f>
        <v>0</v>
      </c>
      <c r="Y161" s="168">
        <f>SUM(K161,L161,M161,)</f>
        <v>0</v>
      </c>
      <c r="Z161" s="170">
        <f>SUM(N161,O161,P161)</f>
        <v>0</v>
      </c>
      <c r="AK161" s="45" t="str">
        <f>IF(AK152=0, "", IF(MOD(AK152, $D$35) = 0, AK152/ $D$35, IF(INT(AK152 / $D$35) = 0, MOD(AK152, $D$35) &amp; " P", INT(AK152 / $D$35) &amp; " + " &amp; MOD(AK152, $D$35) &amp; " P")))</f>
        <v/>
      </c>
    </row>
    <row r="162" spans="2:37" ht="61.8" customHeight="1" thickBot="1">
      <c r="B162" s="193"/>
      <c r="C162" s="160" t="s">
        <v>115</v>
      </c>
      <c r="D162" s="236"/>
      <c r="E162" s="185" t="str">
        <f>IF(E161=0, "", IF(MOD(E161, $D$43) = 0, E161/ $D$43, IF(INT(E161 / $D$43) = 0, MOD(E161, $D$43) &amp; " P", INT(E161 / $D$43) &amp; " + " &amp; MOD(E161, $D$43) &amp; " P")))</f>
        <v>14 P</v>
      </c>
      <c r="F162" s="185" t="str">
        <f t="shared" ref="F162:P162" si="95">IF(F161=0, "", IF(MOD(F161, $D$43) = 0, F161/ $D$43, IF(INT(F161 / $D$43) = 0, MOD(F161, $D$43) &amp; " P", INT(F161 / $D$43) &amp; " + " &amp; MOD(F161, $D$43) &amp; " P")))</f>
        <v>19 P</v>
      </c>
      <c r="G162" s="185" t="str">
        <f t="shared" si="95"/>
        <v>5 + 8 P</v>
      </c>
      <c r="H162" s="185" t="str">
        <f t="shared" si="95"/>
        <v>2 + 16 P</v>
      </c>
      <c r="I162" s="185" t="str">
        <f t="shared" si="95"/>
        <v/>
      </c>
      <c r="J162" s="185" t="str">
        <f t="shared" si="95"/>
        <v/>
      </c>
      <c r="K162" s="185" t="str">
        <f t="shared" si="95"/>
        <v/>
      </c>
      <c r="L162" s="185" t="str">
        <f t="shared" si="95"/>
        <v/>
      </c>
      <c r="M162" s="185" t="str">
        <f t="shared" si="95"/>
        <v/>
      </c>
      <c r="N162" s="185" t="str">
        <f t="shared" si="95"/>
        <v/>
      </c>
      <c r="O162" s="185" t="str">
        <f t="shared" si="95"/>
        <v/>
      </c>
      <c r="P162" s="185" t="str">
        <f t="shared" si="95"/>
        <v/>
      </c>
      <c r="Q162" s="238"/>
      <c r="R162" s="240"/>
      <c r="S162" s="242"/>
      <c r="T162" s="244"/>
      <c r="U162" s="3"/>
      <c r="V162" s="167"/>
      <c r="W162" s="172"/>
      <c r="X162" s="173"/>
      <c r="Y162" s="168"/>
      <c r="Z162" s="174"/>
    </row>
    <row r="163" spans="2:37" ht="61.8" customHeight="1" thickBot="1">
      <c r="B163" s="192">
        <v>16</v>
      </c>
      <c r="C163" s="157" t="s">
        <v>66</v>
      </c>
      <c r="D163" s="235">
        <v>32</v>
      </c>
      <c r="E163" s="182">
        <v>1</v>
      </c>
      <c r="F163" s="182">
        <v>6</v>
      </c>
      <c r="G163" s="182">
        <v>51</v>
      </c>
      <c r="H163" s="182">
        <v>35</v>
      </c>
      <c r="I163" s="182"/>
      <c r="J163" s="182"/>
      <c r="K163" s="182"/>
      <c r="L163" s="182"/>
      <c r="M163" s="182"/>
      <c r="N163" s="182"/>
      <c r="O163" s="182"/>
      <c r="P163" s="182"/>
      <c r="Q163" s="237">
        <f>SUM(E163:P163)</f>
        <v>93</v>
      </c>
      <c r="R163" s="239">
        <v>6</v>
      </c>
      <c r="S163" s="241">
        <v>170</v>
      </c>
      <c r="T163" s="243">
        <f t="shared" ref="T163" si="96">SUM(S163-Q163)</f>
        <v>77</v>
      </c>
      <c r="U163" s="3"/>
      <c r="V163" s="167">
        <f>SUM(E163,F163)</f>
        <v>7</v>
      </c>
      <c r="W163" s="168">
        <f>SUM(G163,H163)</f>
        <v>86</v>
      </c>
      <c r="X163" s="169">
        <f>SUM(I163,J163)</f>
        <v>0</v>
      </c>
      <c r="Y163" s="168">
        <f>SUM(K163,L163,M163,)</f>
        <v>0</v>
      </c>
      <c r="Z163" s="170">
        <f>SUM(N163,O163,P163)</f>
        <v>0</v>
      </c>
      <c r="AK163" s="45" t="str">
        <f>IF(AK154=0, "", IF(MOD(AK154, $D$35) = 0, AK154/ $D$35, IF(INT(AK154 / $D$35) = 0, MOD(AK154, $D$35) &amp; " P", INT(AK154 / $D$35) &amp; " + " &amp; MOD(AK154, $D$35) &amp; " P")))</f>
        <v/>
      </c>
    </row>
    <row r="164" spans="2:37" ht="61.8" customHeight="1" thickBot="1">
      <c r="B164" s="193"/>
      <c r="C164" s="160" t="s">
        <v>116</v>
      </c>
      <c r="D164" s="236"/>
      <c r="E164" s="185" t="str">
        <f>IF(E163=0, "", IF(MOD(E163, $D$45) = 0, E163/ $D$45, IF(INT(E163 / $D$45) = 0, MOD(E163, $D$45) &amp; " P", INT(E163 / $D$45) &amp; " + " &amp; MOD(E163, $D$45) &amp; " P")))</f>
        <v>1 P</v>
      </c>
      <c r="F164" s="185" t="str">
        <f t="shared" ref="F164:P164" si="97">IF(F163=0, "", IF(MOD(F163, $D$45) = 0, F163/ $D$45, IF(INT(F163 / $D$45) = 0, MOD(F163, $D$45) &amp; " P", INT(F163 / $D$45) &amp; " + " &amp; MOD(F163, $D$45) &amp; " P")))</f>
        <v>6 P</v>
      </c>
      <c r="G164" s="185" t="str">
        <f t="shared" si="97"/>
        <v>1 + 19 P</v>
      </c>
      <c r="H164" s="185" t="str">
        <f t="shared" si="97"/>
        <v>1 + 3 P</v>
      </c>
      <c r="I164" s="185" t="str">
        <f t="shared" si="97"/>
        <v/>
      </c>
      <c r="J164" s="185" t="str">
        <f t="shared" si="97"/>
        <v/>
      </c>
      <c r="K164" s="185" t="str">
        <f t="shared" si="97"/>
        <v/>
      </c>
      <c r="L164" s="185" t="str">
        <f t="shared" si="97"/>
        <v/>
      </c>
      <c r="M164" s="185" t="str">
        <f t="shared" si="97"/>
        <v/>
      </c>
      <c r="N164" s="185" t="str">
        <f t="shared" si="97"/>
        <v/>
      </c>
      <c r="O164" s="185" t="str">
        <f t="shared" si="97"/>
        <v/>
      </c>
      <c r="P164" s="185" t="str">
        <f t="shared" si="97"/>
        <v/>
      </c>
      <c r="Q164" s="238"/>
      <c r="R164" s="240"/>
      <c r="S164" s="242"/>
      <c r="T164" s="244"/>
      <c r="U164" s="3"/>
      <c r="V164" s="167"/>
      <c r="W164" s="172"/>
      <c r="X164" s="173"/>
      <c r="Y164" s="168"/>
      <c r="Z164" s="174"/>
    </row>
    <row r="165" spans="2:37" ht="61.8" customHeight="1" thickBot="1">
      <c r="B165" s="192">
        <v>17</v>
      </c>
      <c r="C165" s="156" t="s">
        <v>105</v>
      </c>
      <c r="D165" s="235">
        <v>15</v>
      </c>
      <c r="E165" s="182">
        <v>0</v>
      </c>
      <c r="F165" s="182">
        <v>3</v>
      </c>
      <c r="G165" s="182">
        <v>20</v>
      </c>
      <c r="H165" s="182">
        <v>9</v>
      </c>
      <c r="I165" s="182"/>
      <c r="J165" s="182"/>
      <c r="K165" s="182"/>
      <c r="L165" s="182"/>
      <c r="M165" s="182"/>
      <c r="N165" s="182"/>
      <c r="O165" s="182"/>
      <c r="P165" s="182"/>
      <c r="Q165" s="237">
        <f>SUM(E165:P165)</f>
        <v>32</v>
      </c>
      <c r="R165" s="239">
        <v>4</v>
      </c>
      <c r="S165" s="241">
        <v>110</v>
      </c>
      <c r="T165" s="243">
        <f t="shared" ref="T165" si="98">SUM(S165-Q165)</f>
        <v>78</v>
      </c>
      <c r="U165" s="3"/>
      <c r="V165" s="167">
        <f>SUM(E165,F165)</f>
        <v>3</v>
      </c>
      <c r="W165" s="168">
        <f>SUM(G165,H165)</f>
        <v>29</v>
      </c>
      <c r="X165" s="169">
        <f>SUM(I165,J165)</f>
        <v>0</v>
      </c>
      <c r="Y165" s="168">
        <f>SUM(K165,L165,M165,)</f>
        <v>0</v>
      </c>
      <c r="Z165" s="170">
        <f>SUM(N165,O165,P165)</f>
        <v>0</v>
      </c>
      <c r="AK165" s="45" t="str">
        <f>IF(AK154=0, "", IF(MOD(AK154, $D$35) = 0, AK154/ $D$35, IF(INT(AK154 / $D$35) = 0, MOD(AK154, $D$35) &amp; " P", INT(AK154 / $D$35) &amp; " + " &amp; MOD(AK154, $D$35) &amp; " P")))</f>
        <v/>
      </c>
    </row>
    <row r="166" spans="2:37" ht="61.8" customHeight="1" thickBot="1">
      <c r="B166" s="193"/>
      <c r="C166" s="161" t="s">
        <v>117</v>
      </c>
      <c r="D166" s="236"/>
      <c r="E166" s="185" t="str">
        <f>IF(E165=0, "", IF(MOD(E165, $D$47) = 0, E165/ $D$47, IF(INT(E165 / $D$47) = 0, MOD(E165, $D$47) &amp; " P", INT(E165 / $D$47) &amp; " + " &amp; MOD(E165, $D$47) &amp; " P")))</f>
        <v/>
      </c>
      <c r="F166" s="185" t="str">
        <f t="shared" ref="F166:P166" si="99">IF(F165=0, "", IF(MOD(F165, $D$47) = 0, F165/ $D$47, IF(INT(F165 / $D$47) = 0, MOD(F165, $D$47) &amp; " P", INT(F165 / $D$47) &amp; " + " &amp; MOD(F165, $D$47) &amp; " P")))</f>
        <v>3 P</v>
      </c>
      <c r="G166" s="185" t="str">
        <f t="shared" si="99"/>
        <v>1 + 5 P</v>
      </c>
      <c r="H166" s="185" t="str">
        <f t="shared" si="99"/>
        <v>9 P</v>
      </c>
      <c r="I166" s="185" t="str">
        <f t="shared" si="99"/>
        <v/>
      </c>
      <c r="J166" s="185" t="str">
        <f t="shared" si="99"/>
        <v/>
      </c>
      <c r="K166" s="185" t="str">
        <f t="shared" si="99"/>
        <v/>
      </c>
      <c r="L166" s="185" t="str">
        <f t="shared" si="99"/>
        <v/>
      </c>
      <c r="M166" s="185" t="str">
        <f t="shared" si="99"/>
        <v/>
      </c>
      <c r="N166" s="185" t="str">
        <f t="shared" si="99"/>
        <v/>
      </c>
      <c r="O166" s="185" t="str">
        <f t="shared" si="99"/>
        <v/>
      </c>
      <c r="P166" s="185" t="str">
        <f t="shared" si="99"/>
        <v/>
      </c>
      <c r="Q166" s="238"/>
      <c r="R166" s="240"/>
      <c r="S166" s="242"/>
      <c r="T166" s="244"/>
      <c r="U166" s="3"/>
      <c r="V166" s="167"/>
      <c r="W166" s="172"/>
      <c r="X166" s="173"/>
      <c r="Y166" s="168"/>
      <c r="Z166" s="174"/>
    </row>
    <row r="167" spans="2:37" ht="61.8" customHeight="1" thickBot="1">
      <c r="B167" s="192">
        <v>18</v>
      </c>
      <c r="C167" s="155" t="s">
        <v>145</v>
      </c>
      <c r="D167" s="245">
        <v>8</v>
      </c>
      <c r="E167" s="182">
        <v>1</v>
      </c>
      <c r="F167" s="182">
        <v>6</v>
      </c>
      <c r="G167" s="182">
        <v>8</v>
      </c>
      <c r="H167" s="182">
        <v>15</v>
      </c>
      <c r="I167" s="182"/>
      <c r="J167" s="182"/>
      <c r="K167" s="182"/>
      <c r="L167" s="182"/>
      <c r="M167" s="182"/>
      <c r="N167" s="182"/>
      <c r="O167" s="182"/>
      <c r="P167" s="182"/>
      <c r="Q167" s="237">
        <f>SUM(E167:P167)</f>
        <v>30</v>
      </c>
      <c r="R167" s="239">
        <v>5</v>
      </c>
      <c r="S167" s="241">
        <v>50</v>
      </c>
      <c r="T167" s="243">
        <f t="shared" ref="T167" si="100">SUM(S167-Q167)</f>
        <v>20</v>
      </c>
      <c r="U167" s="3"/>
      <c r="V167" s="167">
        <f>SUM(E167,F167)</f>
        <v>7</v>
      </c>
      <c r="W167" s="168">
        <f>SUM(G167,H167)</f>
        <v>23</v>
      </c>
      <c r="X167" s="169">
        <f>SUM(I167,J167)</f>
        <v>0</v>
      </c>
      <c r="Y167" s="168">
        <f>SUM(K167,L167,M167,)</f>
        <v>0</v>
      </c>
      <c r="Z167" s="170">
        <f>SUM(N167,O167,P167)</f>
        <v>0</v>
      </c>
      <c r="AK167" s="45" t="str">
        <f>IF(AK158=0, "", IF(MOD(AK158, $D$35) = 0, AK158/ $D$35, IF(INT(AK158 / $D$35) = 0, MOD(AK158, $D$35) &amp; " P", INT(AK158 / $D$35) &amp; " + " &amp; MOD(AK158, $D$35) &amp; " P")))</f>
        <v/>
      </c>
    </row>
    <row r="168" spans="2:37" ht="61.8" customHeight="1" thickBot="1">
      <c r="B168" s="193"/>
      <c r="C168" s="181" t="s">
        <v>144</v>
      </c>
      <c r="D168" s="246"/>
      <c r="E168" s="185" t="str">
        <f>IF(E167=0, "", IF(MOD(E167, $D$49) = 0, E167/ $D$49, IF(INT(E167 / $D$49) = 0, MOD(E167, $D$49) &amp; " P", INT(E167 / $D$49) &amp; " + " &amp; MOD(E167, $D$49) &amp; " P")))</f>
        <v>1 P</v>
      </c>
      <c r="F168" s="185" t="str">
        <f t="shared" ref="F168:P168" si="101">IF(F167=0, "", IF(MOD(F167, $D$49) = 0, F167/ $D$49, IF(INT(F167 / $D$49) = 0, MOD(F167, $D$49) &amp; " P", INT(F167 / $D$49) &amp; " + " &amp; MOD(F167, $D$49) &amp; " P")))</f>
        <v>6 P</v>
      </c>
      <c r="G168" s="185">
        <f t="shared" si="101"/>
        <v>1</v>
      </c>
      <c r="H168" s="185" t="str">
        <f t="shared" si="101"/>
        <v>1 + 7 P</v>
      </c>
      <c r="I168" s="185" t="str">
        <f t="shared" si="101"/>
        <v/>
      </c>
      <c r="J168" s="185" t="str">
        <f t="shared" si="101"/>
        <v/>
      </c>
      <c r="K168" s="185" t="str">
        <f t="shared" si="101"/>
        <v/>
      </c>
      <c r="L168" s="185" t="str">
        <f t="shared" si="101"/>
        <v/>
      </c>
      <c r="M168" s="185" t="str">
        <f t="shared" si="101"/>
        <v/>
      </c>
      <c r="N168" s="185" t="str">
        <f t="shared" si="101"/>
        <v/>
      </c>
      <c r="O168" s="185" t="str">
        <f t="shared" si="101"/>
        <v/>
      </c>
      <c r="P168" s="185" t="str">
        <f t="shared" si="101"/>
        <v/>
      </c>
      <c r="Q168" s="238"/>
      <c r="R168" s="240"/>
      <c r="S168" s="242"/>
      <c r="T168" s="244"/>
      <c r="U168" s="3"/>
      <c r="V168" s="167"/>
      <c r="W168" s="172"/>
      <c r="X168" s="173"/>
      <c r="Y168" s="168"/>
      <c r="Z168" s="174"/>
    </row>
    <row r="169" spans="2:37" ht="79.8" customHeight="1" thickBot="1">
      <c r="B169" s="221" t="s">
        <v>81</v>
      </c>
      <c r="C169" s="222"/>
      <c r="D169" s="223"/>
      <c r="E169" s="144">
        <v>-59</v>
      </c>
      <c r="F169" s="144">
        <v>-67</v>
      </c>
      <c r="G169" s="144">
        <v>-44</v>
      </c>
      <c r="H169" s="144">
        <v>-36</v>
      </c>
      <c r="I169" s="211"/>
      <c r="J169" s="211"/>
      <c r="K169" s="211"/>
      <c r="L169" s="211"/>
      <c r="M169" s="211"/>
      <c r="N169" s="211"/>
      <c r="O169" s="211"/>
      <c r="P169" s="211"/>
      <c r="Q169" s="179"/>
      <c r="R169" s="180">
        <f>SUM(R133:R168)</f>
        <v>206</v>
      </c>
      <c r="S169" s="145"/>
      <c r="T169" s="146"/>
      <c r="U169" s="3"/>
      <c r="V169" s="175"/>
      <c r="W169" s="176"/>
      <c r="X169" s="177"/>
      <c r="Y169" s="178"/>
      <c r="Z169" s="177"/>
    </row>
    <row r="170" spans="2:37" ht="22.8" customHeight="1" thickBot="1"/>
    <row r="171" spans="2:37" ht="64.8" customHeight="1" thickBot="1">
      <c r="B171" s="224" t="s">
        <v>49</v>
      </c>
      <c r="C171" s="225"/>
      <c r="D171" s="224" t="s">
        <v>53</v>
      </c>
      <c r="E171" s="225"/>
      <c r="F171" s="224" t="s">
        <v>54</v>
      </c>
      <c r="G171" s="225"/>
      <c r="H171" s="224" t="s">
        <v>71</v>
      </c>
      <c r="I171" s="225"/>
      <c r="J171" s="226" t="s">
        <v>88</v>
      </c>
      <c r="K171" s="227"/>
      <c r="L171" s="227"/>
      <c r="M171" s="227"/>
      <c r="N171" s="227"/>
      <c r="O171" s="227"/>
      <c r="P171" s="227"/>
      <c r="Q171" s="228">
        <f>SUM(R169)</f>
        <v>206</v>
      </c>
      <c r="R171" s="230" t="s">
        <v>89</v>
      </c>
      <c r="T171" s="31"/>
      <c r="U171" s="3"/>
    </row>
    <row r="172" spans="2:37" ht="64.8" customHeight="1">
      <c r="B172" s="231" t="s">
        <v>72</v>
      </c>
      <c r="C172" s="232"/>
      <c r="D172" s="233"/>
      <c r="E172" s="234"/>
      <c r="F172" s="233"/>
      <c r="G172" s="234"/>
      <c r="H172" s="233"/>
      <c r="I172" s="234"/>
      <c r="J172" s="226"/>
      <c r="K172" s="227"/>
      <c r="L172" s="227"/>
      <c r="M172" s="227"/>
      <c r="N172" s="227"/>
      <c r="O172" s="227"/>
      <c r="P172" s="227"/>
      <c r="Q172" s="229"/>
      <c r="R172" s="230"/>
      <c r="T172" s="31"/>
      <c r="U172" s="3"/>
    </row>
    <row r="173" spans="2:37" ht="73.8" customHeight="1" thickBot="1">
      <c r="B173" s="212" t="s">
        <v>74</v>
      </c>
      <c r="C173" s="213"/>
      <c r="D173" s="214"/>
      <c r="E173" s="215"/>
      <c r="F173" s="214"/>
      <c r="G173" s="215"/>
      <c r="H173" s="214"/>
      <c r="I173" s="215"/>
      <c r="K173" s="194" t="s">
        <v>73</v>
      </c>
      <c r="M173" s="52"/>
      <c r="N173" s="195"/>
      <c r="O173" s="195"/>
      <c r="P173" s="195"/>
      <c r="Q173" s="195"/>
      <c r="R173" s="195"/>
      <c r="T173" s="31"/>
      <c r="U173" s="3"/>
    </row>
    <row r="174" spans="2:37" ht="64.8" customHeight="1" thickBot="1">
      <c r="B174" s="216" t="s">
        <v>76</v>
      </c>
      <c r="C174" s="217"/>
      <c r="D174" s="218"/>
      <c r="E174" s="219"/>
      <c r="F174" s="218"/>
      <c r="G174" s="219"/>
      <c r="H174" s="218"/>
      <c r="I174" s="219"/>
      <c r="K174" s="39" t="s">
        <v>75</v>
      </c>
      <c r="L174" s="39" t="s">
        <v>59</v>
      </c>
      <c r="M174" s="69"/>
      <c r="N174" s="194" t="s">
        <v>77</v>
      </c>
      <c r="O174" s="69"/>
      <c r="P174" s="90"/>
      <c r="Q174" s="196"/>
      <c r="R174" s="68"/>
      <c r="S174" s="31"/>
      <c r="T174" s="3"/>
      <c r="U174" s="162"/>
      <c r="Z174" s="3"/>
    </row>
    <row r="175" spans="2:37" ht="64.8" customHeight="1" thickBot="1">
      <c r="D175" s="52"/>
      <c r="E175" s="41"/>
      <c r="F175" s="41"/>
      <c r="G175" s="69"/>
      <c r="H175" s="69"/>
      <c r="I175" s="41"/>
      <c r="K175" s="39"/>
      <c r="L175" s="39"/>
      <c r="M175" s="41"/>
      <c r="N175" s="69"/>
      <c r="O175" s="69"/>
      <c r="P175" s="69"/>
      <c r="Q175" s="41"/>
      <c r="R175" s="3"/>
      <c r="S175" s="31"/>
      <c r="T175" s="3"/>
      <c r="U175" s="162"/>
      <c r="Z175" s="3"/>
    </row>
  </sheetData>
  <mergeCells count="409">
    <mergeCell ref="D21:D22"/>
    <mergeCell ref="D25:D26"/>
    <mergeCell ref="D23:D24"/>
    <mergeCell ref="Q39:Q40"/>
    <mergeCell ref="Q31:Q32"/>
    <mergeCell ref="R31:R32"/>
    <mergeCell ref="Q35:Q36"/>
    <mergeCell ref="R35:R36"/>
    <mergeCell ref="J53:P54"/>
    <mergeCell ref="Q45:Q46"/>
    <mergeCell ref="R45:R46"/>
    <mergeCell ref="D31:D32"/>
    <mergeCell ref="R21:R22"/>
    <mergeCell ref="R29:R30"/>
    <mergeCell ref="Q47:Q48"/>
    <mergeCell ref="R47:R48"/>
    <mergeCell ref="Q37:Q38"/>
    <mergeCell ref="R37:R38"/>
    <mergeCell ref="D29:D30"/>
    <mergeCell ref="D39:D40"/>
    <mergeCell ref="D35:D36"/>
    <mergeCell ref="D45:D46"/>
    <mergeCell ref="D43:D44"/>
    <mergeCell ref="D41:D42"/>
    <mergeCell ref="Q25:Q26"/>
    <mergeCell ref="D27:D28"/>
    <mergeCell ref="D49:D50"/>
    <mergeCell ref="D47:D48"/>
    <mergeCell ref="D37:D38"/>
    <mergeCell ref="S47:S48"/>
    <mergeCell ref="T47:T48"/>
    <mergeCell ref="Q53:Q54"/>
    <mergeCell ref="R53:R54"/>
    <mergeCell ref="S37:S38"/>
    <mergeCell ref="T37:T38"/>
    <mergeCell ref="D33:D34"/>
    <mergeCell ref="S29:S30"/>
    <mergeCell ref="T45:T46"/>
    <mergeCell ref="Q43:Q44"/>
    <mergeCell ref="R43:R44"/>
    <mergeCell ref="S43:S44"/>
    <mergeCell ref="T43:T44"/>
    <mergeCell ref="Y12:Y13"/>
    <mergeCell ref="B17:B18"/>
    <mergeCell ref="D17:D18"/>
    <mergeCell ref="Q17:Q18"/>
    <mergeCell ref="R17:R18"/>
    <mergeCell ref="S17:S18"/>
    <mergeCell ref="T17:T18"/>
    <mergeCell ref="E13:F13"/>
    <mergeCell ref="Q15:Q16"/>
    <mergeCell ref="R15:R16"/>
    <mergeCell ref="S15:S16"/>
    <mergeCell ref="T15:T16"/>
    <mergeCell ref="I12:J12"/>
    <mergeCell ref="Q12:R13"/>
    <mergeCell ref="S12:S14"/>
    <mergeCell ref="B12:C14"/>
    <mergeCell ref="D12:D14"/>
    <mergeCell ref="E12:F12"/>
    <mergeCell ref="G12:H12"/>
    <mergeCell ref="T12:T14"/>
    <mergeCell ref="L4:M4"/>
    <mergeCell ref="B15:B16"/>
    <mergeCell ref="D15:D16"/>
    <mergeCell ref="B10:D11"/>
    <mergeCell ref="B19:B20"/>
    <mergeCell ref="D19:D20"/>
    <mergeCell ref="Q19:Q20"/>
    <mergeCell ref="R19:R20"/>
    <mergeCell ref="G13:H13"/>
    <mergeCell ref="I13:J13"/>
    <mergeCell ref="K12:M12"/>
    <mergeCell ref="K13:M13"/>
    <mergeCell ref="E9:P10"/>
    <mergeCell ref="N13:P13"/>
    <mergeCell ref="N12:P12"/>
    <mergeCell ref="B56:C56"/>
    <mergeCell ref="D56:E56"/>
    <mergeCell ref="F56:G56"/>
    <mergeCell ref="H56:I56"/>
    <mergeCell ref="B53:C53"/>
    <mergeCell ref="D53:E53"/>
    <mergeCell ref="F53:G53"/>
    <mergeCell ref="H53:I53"/>
    <mergeCell ref="B54:C54"/>
    <mergeCell ref="D54:E54"/>
    <mergeCell ref="F54:G54"/>
    <mergeCell ref="H54:I54"/>
    <mergeCell ref="Z12:Z13"/>
    <mergeCell ref="W11:AA11"/>
    <mergeCell ref="B55:C55"/>
    <mergeCell ref="D55:E55"/>
    <mergeCell ref="F55:G55"/>
    <mergeCell ref="H55:I55"/>
    <mergeCell ref="S39:S40"/>
    <mergeCell ref="T39:T40"/>
    <mergeCell ref="B51:D51"/>
    <mergeCell ref="Q41:Q42"/>
    <mergeCell ref="R41:R42"/>
    <mergeCell ref="S41:S42"/>
    <mergeCell ref="T41:T42"/>
    <mergeCell ref="Q49:Q50"/>
    <mergeCell ref="R49:R50"/>
    <mergeCell ref="S49:S50"/>
    <mergeCell ref="T49:T50"/>
    <mergeCell ref="R39:R40"/>
    <mergeCell ref="S35:S36"/>
    <mergeCell ref="Q27:Q28"/>
    <mergeCell ref="R27:R28"/>
    <mergeCell ref="T29:T30"/>
    <mergeCell ref="T27:T28"/>
    <mergeCell ref="S45:S46"/>
    <mergeCell ref="X12:X13"/>
    <mergeCell ref="W12:W13"/>
    <mergeCell ref="V12:V13"/>
    <mergeCell ref="T35:T36"/>
    <mergeCell ref="Q29:Q30"/>
    <mergeCell ref="Q23:Q24"/>
    <mergeCell ref="R23:R24"/>
    <mergeCell ref="S23:S24"/>
    <mergeCell ref="S31:S32"/>
    <mergeCell ref="T31:T32"/>
    <mergeCell ref="S19:S20"/>
    <mergeCell ref="T19:T20"/>
    <mergeCell ref="Q33:Q34"/>
    <mergeCell ref="R33:R34"/>
    <mergeCell ref="S33:S34"/>
    <mergeCell ref="T33:T34"/>
    <mergeCell ref="T25:T26"/>
    <mergeCell ref="Q21:Q22"/>
    <mergeCell ref="T23:T24"/>
    <mergeCell ref="R25:R26"/>
    <mergeCell ref="S25:S26"/>
    <mergeCell ref="S21:S22"/>
    <mergeCell ref="T21:T22"/>
    <mergeCell ref="S27:S28"/>
    <mergeCell ref="B65:D66"/>
    <mergeCell ref="W66:AA66"/>
    <mergeCell ref="B67:C69"/>
    <mergeCell ref="D67:D69"/>
    <mergeCell ref="E67:F67"/>
    <mergeCell ref="G67:H67"/>
    <mergeCell ref="I67:J67"/>
    <mergeCell ref="K67:M67"/>
    <mergeCell ref="N67:P67"/>
    <mergeCell ref="Q67:R68"/>
    <mergeCell ref="S67:S69"/>
    <mergeCell ref="T67:T69"/>
    <mergeCell ref="V67:V68"/>
    <mergeCell ref="W67:W68"/>
    <mergeCell ref="X67:X68"/>
    <mergeCell ref="Y67:Y68"/>
    <mergeCell ref="Z67:Z68"/>
    <mergeCell ref="E68:F68"/>
    <mergeCell ref="G68:H68"/>
    <mergeCell ref="I68:J68"/>
    <mergeCell ref="K68:M68"/>
    <mergeCell ref="N68:P68"/>
    <mergeCell ref="B70:B71"/>
    <mergeCell ref="D70:D71"/>
    <mergeCell ref="Q70:Q71"/>
    <mergeCell ref="R70:R71"/>
    <mergeCell ref="S70:S71"/>
    <mergeCell ref="T70:T71"/>
    <mergeCell ref="B72:B73"/>
    <mergeCell ref="D72:D73"/>
    <mergeCell ref="Q72:Q73"/>
    <mergeCell ref="R72:R73"/>
    <mergeCell ref="S72:S73"/>
    <mergeCell ref="T72:T73"/>
    <mergeCell ref="B74:B75"/>
    <mergeCell ref="D74:D75"/>
    <mergeCell ref="Q74:Q75"/>
    <mergeCell ref="R74:R75"/>
    <mergeCell ref="S74:S75"/>
    <mergeCell ref="T74:T75"/>
    <mergeCell ref="D76:D77"/>
    <mergeCell ref="Q76:Q77"/>
    <mergeCell ref="R76:R77"/>
    <mergeCell ref="S76:S77"/>
    <mergeCell ref="T76:T77"/>
    <mergeCell ref="D78:D79"/>
    <mergeCell ref="Q78:Q79"/>
    <mergeCell ref="R78:R79"/>
    <mergeCell ref="S78:S79"/>
    <mergeCell ref="T78:T79"/>
    <mergeCell ref="D80:D81"/>
    <mergeCell ref="Q80:Q81"/>
    <mergeCell ref="R80:R81"/>
    <mergeCell ref="S80:S81"/>
    <mergeCell ref="T80:T81"/>
    <mergeCell ref="D82:D83"/>
    <mergeCell ref="Q82:Q83"/>
    <mergeCell ref="R82:R83"/>
    <mergeCell ref="S82:S83"/>
    <mergeCell ref="T82:T83"/>
    <mergeCell ref="D84:D85"/>
    <mergeCell ref="Q84:Q85"/>
    <mergeCell ref="R84:R85"/>
    <mergeCell ref="S84:S85"/>
    <mergeCell ref="T84:T85"/>
    <mergeCell ref="D86:D87"/>
    <mergeCell ref="Q86:Q87"/>
    <mergeCell ref="R86:R87"/>
    <mergeCell ref="S86:S87"/>
    <mergeCell ref="T86:T87"/>
    <mergeCell ref="D88:D89"/>
    <mergeCell ref="Q88:Q89"/>
    <mergeCell ref="R88:R89"/>
    <mergeCell ref="S88:S89"/>
    <mergeCell ref="T88:T89"/>
    <mergeCell ref="D90:D91"/>
    <mergeCell ref="Q90:Q91"/>
    <mergeCell ref="R90:R91"/>
    <mergeCell ref="S90:S91"/>
    <mergeCell ref="T90:T91"/>
    <mergeCell ref="D92:D93"/>
    <mergeCell ref="Q92:Q93"/>
    <mergeCell ref="R92:R93"/>
    <mergeCell ref="S92:S93"/>
    <mergeCell ref="T92:T93"/>
    <mergeCell ref="D94:D95"/>
    <mergeCell ref="Q94:Q95"/>
    <mergeCell ref="R94:R95"/>
    <mergeCell ref="S94:S95"/>
    <mergeCell ref="T94:T95"/>
    <mergeCell ref="D96:D97"/>
    <mergeCell ref="Q96:Q97"/>
    <mergeCell ref="R96:R97"/>
    <mergeCell ref="S96:S97"/>
    <mergeCell ref="T96:T97"/>
    <mergeCell ref="S102:S103"/>
    <mergeCell ref="T102:T103"/>
    <mergeCell ref="D104:D105"/>
    <mergeCell ref="Q104:Q105"/>
    <mergeCell ref="R104:R105"/>
    <mergeCell ref="S104:S105"/>
    <mergeCell ref="T104:T105"/>
    <mergeCell ref="D98:D99"/>
    <mergeCell ref="Q98:Q99"/>
    <mergeCell ref="R98:R99"/>
    <mergeCell ref="S98:S99"/>
    <mergeCell ref="T98:T99"/>
    <mergeCell ref="D100:D101"/>
    <mergeCell ref="Q100:Q101"/>
    <mergeCell ref="R100:R101"/>
    <mergeCell ref="S100:S101"/>
    <mergeCell ref="T100:T101"/>
    <mergeCell ref="J108:P109"/>
    <mergeCell ref="Q108:Q109"/>
    <mergeCell ref="R108:R109"/>
    <mergeCell ref="B109:C109"/>
    <mergeCell ref="D109:E109"/>
    <mergeCell ref="F109:G109"/>
    <mergeCell ref="H109:I109"/>
    <mergeCell ref="D102:D103"/>
    <mergeCell ref="Q102:Q103"/>
    <mergeCell ref="R102:R103"/>
    <mergeCell ref="D110:E110"/>
    <mergeCell ref="F110:G110"/>
    <mergeCell ref="H110:I110"/>
    <mergeCell ref="B111:C111"/>
    <mergeCell ref="D111:E111"/>
    <mergeCell ref="F111:G111"/>
    <mergeCell ref="H111:I111"/>
    <mergeCell ref="B106:D106"/>
    <mergeCell ref="B108:C108"/>
    <mergeCell ref="D108:E108"/>
    <mergeCell ref="F108:G108"/>
    <mergeCell ref="H108:I108"/>
    <mergeCell ref="F64:O65"/>
    <mergeCell ref="B128:D129"/>
    <mergeCell ref="W129:AA129"/>
    <mergeCell ref="B130:C132"/>
    <mergeCell ref="D130:D132"/>
    <mergeCell ref="E130:F130"/>
    <mergeCell ref="G130:H130"/>
    <mergeCell ref="I130:J130"/>
    <mergeCell ref="K130:M130"/>
    <mergeCell ref="N130:P130"/>
    <mergeCell ref="Q130:R131"/>
    <mergeCell ref="S130:S132"/>
    <mergeCell ref="T130:T132"/>
    <mergeCell ref="V130:V131"/>
    <mergeCell ref="W130:W131"/>
    <mergeCell ref="X130:X131"/>
    <mergeCell ref="Y130:Y131"/>
    <mergeCell ref="Z130:Z131"/>
    <mergeCell ref="E131:F131"/>
    <mergeCell ref="G131:H131"/>
    <mergeCell ref="I131:J131"/>
    <mergeCell ref="K131:M131"/>
    <mergeCell ref="N131:P131"/>
    <mergeCell ref="B110:C110"/>
    <mergeCell ref="Q133:Q134"/>
    <mergeCell ref="R133:R134"/>
    <mergeCell ref="S133:S134"/>
    <mergeCell ref="T133:T134"/>
    <mergeCell ref="B135:B136"/>
    <mergeCell ref="D135:D136"/>
    <mergeCell ref="Q135:Q136"/>
    <mergeCell ref="R135:R136"/>
    <mergeCell ref="S135:S136"/>
    <mergeCell ref="T135:T136"/>
    <mergeCell ref="Q137:Q138"/>
    <mergeCell ref="R137:R138"/>
    <mergeCell ref="S137:S138"/>
    <mergeCell ref="T137:T138"/>
    <mergeCell ref="D139:D140"/>
    <mergeCell ref="Q139:Q140"/>
    <mergeCell ref="R139:R140"/>
    <mergeCell ref="S139:S140"/>
    <mergeCell ref="T139:T140"/>
    <mergeCell ref="Q141:Q142"/>
    <mergeCell ref="R141:R142"/>
    <mergeCell ref="S141:S142"/>
    <mergeCell ref="T141:T142"/>
    <mergeCell ref="D143:D144"/>
    <mergeCell ref="Q143:Q144"/>
    <mergeCell ref="R143:R144"/>
    <mergeCell ref="S143:S144"/>
    <mergeCell ref="T143:T144"/>
    <mergeCell ref="Q145:Q146"/>
    <mergeCell ref="R145:R146"/>
    <mergeCell ref="S145:S146"/>
    <mergeCell ref="T145:T146"/>
    <mergeCell ref="D147:D148"/>
    <mergeCell ref="Q147:Q148"/>
    <mergeCell ref="R147:R148"/>
    <mergeCell ref="S147:S148"/>
    <mergeCell ref="T147:T148"/>
    <mergeCell ref="Q149:Q150"/>
    <mergeCell ref="R149:R150"/>
    <mergeCell ref="S149:S150"/>
    <mergeCell ref="T149:T150"/>
    <mergeCell ref="D151:D152"/>
    <mergeCell ref="Q151:Q152"/>
    <mergeCell ref="R151:R152"/>
    <mergeCell ref="S151:S152"/>
    <mergeCell ref="T151:T152"/>
    <mergeCell ref="Q153:Q154"/>
    <mergeCell ref="R153:R154"/>
    <mergeCell ref="S153:S154"/>
    <mergeCell ref="T153:T154"/>
    <mergeCell ref="D155:D156"/>
    <mergeCell ref="Q155:Q156"/>
    <mergeCell ref="R155:R156"/>
    <mergeCell ref="S155:S156"/>
    <mergeCell ref="T155:T156"/>
    <mergeCell ref="Q157:Q158"/>
    <mergeCell ref="R157:R158"/>
    <mergeCell ref="S157:S158"/>
    <mergeCell ref="T157:T158"/>
    <mergeCell ref="D159:D160"/>
    <mergeCell ref="Q159:Q160"/>
    <mergeCell ref="R159:R160"/>
    <mergeCell ref="S159:S160"/>
    <mergeCell ref="T159:T160"/>
    <mergeCell ref="S165:S166"/>
    <mergeCell ref="T165:T166"/>
    <mergeCell ref="D167:D168"/>
    <mergeCell ref="Q167:Q168"/>
    <mergeCell ref="R167:R168"/>
    <mergeCell ref="S167:S168"/>
    <mergeCell ref="T167:T168"/>
    <mergeCell ref="D161:D162"/>
    <mergeCell ref="Q161:Q162"/>
    <mergeCell ref="R161:R162"/>
    <mergeCell ref="S161:S162"/>
    <mergeCell ref="T161:T162"/>
    <mergeCell ref="D163:D164"/>
    <mergeCell ref="Q163:Q164"/>
    <mergeCell ref="R163:R164"/>
    <mergeCell ref="S163:S164"/>
    <mergeCell ref="T163:T164"/>
    <mergeCell ref="Q171:Q172"/>
    <mergeCell ref="R171:R172"/>
    <mergeCell ref="B172:C172"/>
    <mergeCell ref="D172:E172"/>
    <mergeCell ref="F172:G172"/>
    <mergeCell ref="H172:I172"/>
    <mergeCell ref="D165:D166"/>
    <mergeCell ref="Q165:Q166"/>
    <mergeCell ref="R165:R166"/>
    <mergeCell ref="B173:C173"/>
    <mergeCell ref="D173:E173"/>
    <mergeCell ref="F173:G173"/>
    <mergeCell ref="H173:I173"/>
    <mergeCell ref="B174:C174"/>
    <mergeCell ref="D174:E174"/>
    <mergeCell ref="F174:G174"/>
    <mergeCell ref="H174:I174"/>
    <mergeCell ref="G128:P129"/>
    <mergeCell ref="B169:D169"/>
    <mergeCell ref="B171:C171"/>
    <mergeCell ref="D171:E171"/>
    <mergeCell ref="F171:G171"/>
    <mergeCell ref="H171:I171"/>
    <mergeCell ref="J171:P172"/>
    <mergeCell ref="D157:D158"/>
    <mergeCell ref="D153:D154"/>
    <mergeCell ref="D149:D150"/>
    <mergeCell ref="D145:D146"/>
    <mergeCell ref="D141:D142"/>
    <mergeCell ref="B137:B138"/>
    <mergeCell ref="D137:D138"/>
    <mergeCell ref="B133:B134"/>
    <mergeCell ref="D133:D134"/>
  </mergeCells>
  <phoneticPr fontId="2" type="noConversion"/>
  <printOptions horizontalCentered="1"/>
  <pageMargins left="0" right="0" top="0.15748031496062992" bottom="0" header="0" footer="0"/>
  <pageSetup paperSize="9" scale="1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E104-985C-4BC0-B1FE-3BA893F14D77}">
  <dimension ref="B4:AK54"/>
  <sheetViews>
    <sheetView topLeftCell="A6" zoomScale="20" zoomScaleNormal="20" zoomScaleSheetLayoutView="20" workbookViewId="0">
      <selection activeCell="B10" sqref="B10:D11"/>
    </sheetView>
  </sheetViews>
  <sheetFormatPr defaultColWidth="5.6640625" defaultRowHeight="15" customHeight="1"/>
  <cols>
    <col min="1" max="1" width="5.6640625" style="3" customWidth="1"/>
    <col min="2" max="2" width="22.5546875" style="3" customWidth="1"/>
    <col min="3" max="3" width="183.5546875" style="3" customWidth="1"/>
    <col min="4" max="4" width="29.21875" style="3" customWidth="1"/>
    <col min="5" max="8" width="54.109375" style="3" customWidth="1"/>
    <col min="9" max="16" width="49.6640625" style="3" hidden="1" customWidth="1"/>
    <col min="17" max="17" width="49.6640625" style="3" customWidth="1"/>
    <col min="18" max="18" width="49.6640625" style="31" customWidth="1"/>
    <col min="19" max="19" width="27.44140625" style="3" customWidth="1"/>
    <col min="20" max="20" width="27.44140625" style="103" customWidth="1"/>
    <col min="21" max="21" width="9.44140625" style="52" customWidth="1"/>
    <col min="22" max="25" width="35.88671875" style="52" customWidth="1"/>
    <col min="26" max="26" width="35.88671875" style="3" customWidth="1"/>
    <col min="27" max="36" width="5.6640625" style="3"/>
    <col min="37" max="37" width="10.109375" style="3" bestFit="1" customWidth="1"/>
    <col min="38" max="16384" width="5.6640625" style="3"/>
  </cols>
  <sheetData>
    <row r="4" spans="2:37" ht="31.95" customHeight="1">
      <c r="B4" s="27"/>
      <c r="C4" s="26"/>
      <c r="D4" s="26"/>
      <c r="E4" s="26"/>
      <c r="F4" s="26"/>
      <c r="G4" s="26"/>
      <c r="H4" s="26"/>
      <c r="I4" s="28"/>
      <c r="J4" s="28"/>
      <c r="K4" s="38"/>
      <c r="L4" s="306"/>
      <c r="M4" s="306"/>
      <c r="N4" s="42"/>
      <c r="O4" s="42"/>
      <c r="P4" s="42"/>
      <c r="Q4" s="33"/>
    </row>
    <row r="5" spans="2:37" ht="15" customHeight="1">
      <c r="K5" s="38"/>
      <c r="L5" s="38"/>
      <c r="M5" s="38"/>
    </row>
    <row r="6" spans="2:37" ht="15" customHeight="1">
      <c r="K6" s="38"/>
      <c r="L6" s="38"/>
      <c r="M6" s="38"/>
    </row>
    <row r="7" spans="2:37" ht="15" customHeight="1">
      <c r="K7" s="38"/>
      <c r="L7" s="38"/>
      <c r="M7" s="38"/>
    </row>
    <row r="9" spans="2:37" ht="15" customHeight="1" thickBot="1"/>
    <row r="10" spans="2:37" ht="71.400000000000006" customHeight="1" thickBot="1">
      <c r="B10" s="325" t="s">
        <v>135</v>
      </c>
      <c r="C10" s="325"/>
      <c r="D10" s="325"/>
      <c r="E10" s="327" t="s">
        <v>134</v>
      </c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9"/>
      <c r="U10" s="3"/>
      <c r="Z10" s="52"/>
      <c r="AA10" s="30"/>
    </row>
    <row r="11" spans="2:37" ht="3" hidden="1" customHeight="1" thickBot="1">
      <c r="B11" s="326"/>
      <c r="C11" s="326"/>
      <c r="D11" s="326"/>
      <c r="E11" s="330"/>
      <c r="F11" s="331"/>
      <c r="G11" s="331"/>
      <c r="H11" s="331"/>
      <c r="I11" s="331"/>
      <c r="J11" s="331"/>
      <c r="K11" s="331"/>
      <c r="L11" s="331"/>
      <c r="M11" s="331"/>
      <c r="N11" s="331"/>
      <c r="O11" s="331"/>
      <c r="P11" s="331"/>
      <c r="Q11" s="331"/>
      <c r="R11" s="332"/>
      <c r="S11" s="53"/>
      <c r="T11" s="104"/>
      <c r="U11" s="29"/>
      <c r="W11" s="252"/>
      <c r="X11" s="253"/>
      <c r="Y11" s="253"/>
      <c r="Z11" s="253"/>
      <c r="AA11" s="254"/>
    </row>
    <row r="12" spans="2:37" ht="72.75" customHeight="1" thickBot="1">
      <c r="B12" s="333" t="s">
        <v>90</v>
      </c>
      <c r="C12" s="334"/>
      <c r="D12" s="261" t="s">
        <v>39</v>
      </c>
      <c r="E12" s="339" t="s">
        <v>98</v>
      </c>
      <c r="F12" s="340"/>
      <c r="G12" s="341" t="s">
        <v>99</v>
      </c>
      <c r="H12" s="342"/>
      <c r="I12" s="343" t="s">
        <v>100</v>
      </c>
      <c r="J12" s="344"/>
      <c r="K12" s="345" t="s">
        <v>101</v>
      </c>
      <c r="L12" s="346"/>
      <c r="M12" s="347"/>
      <c r="N12" s="354" t="s">
        <v>102</v>
      </c>
      <c r="O12" s="355"/>
      <c r="P12" s="115"/>
      <c r="Q12" s="356" t="s">
        <v>68</v>
      </c>
      <c r="R12" s="357"/>
      <c r="S12" s="360" t="s">
        <v>78</v>
      </c>
      <c r="T12" s="363" t="s">
        <v>79</v>
      </c>
      <c r="U12" s="3"/>
      <c r="V12" s="366" t="s">
        <v>82</v>
      </c>
      <c r="W12" s="350" t="s">
        <v>83</v>
      </c>
      <c r="X12" s="348" t="s">
        <v>85</v>
      </c>
      <c r="Y12" s="350" t="s">
        <v>84</v>
      </c>
      <c r="Z12" s="352" t="s">
        <v>86</v>
      </c>
    </row>
    <row r="13" spans="2:37" ht="72.75" customHeight="1" thickBot="1">
      <c r="B13" s="335"/>
      <c r="C13" s="336"/>
      <c r="D13" s="262"/>
      <c r="E13" s="339" t="s">
        <v>93</v>
      </c>
      <c r="F13" s="340"/>
      <c r="G13" s="341" t="s">
        <v>94</v>
      </c>
      <c r="H13" s="342"/>
      <c r="I13" s="343" t="s">
        <v>95</v>
      </c>
      <c r="J13" s="344"/>
      <c r="K13" s="345" t="s">
        <v>96</v>
      </c>
      <c r="L13" s="346"/>
      <c r="M13" s="347"/>
      <c r="N13" s="354" t="s">
        <v>97</v>
      </c>
      <c r="O13" s="355"/>
      <c r="P13" s="115"/>
      <c r="Q13" s="358"/>
      <c r="R13" s="359"/>
      <c r="S13" s="361"/>
      <c r="T13" s="364"/>
      <c r="U13" s="3"/>
      <c r="V13" s="367"/>
      <c r="W13" s="351"/>
      <c r="X13" s="349"/>
      <c r="Y13" s="351"/>
      <c r="Z13" s="353"/>
    </row>
    <row r="14" spans="2:37" ht="129" customHeight="1" thickBot="1">
      <c r="B14" s="337"/>
      <c r="C14" s="338"/>
      <c r="D14" s="263"/>
      <c r="E14" s="106" t="s">
        <v>0</v>
      </c>
      <c r="F14" s="107" t="s">
        <v>69</v>
      </c>
      <c r="G14" s="108" t="s">
        <v>0</v>
      </c>
      <c r="H14" s="109" t="s">
        <v>69</v>
      </c>
      <c r="I14" s="110" t="s">
        <v>0</v>
      </c>
      <c r="J14" s="111" t="s">
        <v>69</v>
      </c>
      <c r="K14" s="112" t="s">
        <v>0</v>
      </c>
      <c r="L14" s="113" t="s">
        <v>69</v>
      </c>
      <c r="M14" s="112" t="s">
        <v>25</v>
      </c>
      <c r="N14" s="114" t="s">
        <v>0</v>
      </c>
      <c r="O14" s="114" t="s">
        <v>1</v>
      </c>
      <c r="P14" s="114" t="s">
        <v>25</v>
      </c>
      <c r="Q14" s="36" t="s">
        <v>80</v>
      </c>
      <c r="R14" s="37" t="s">
        <v>70</v>
      </c>
      <c r="S14" s="362"/>
      <c r="T14" s="365"/>
      <c r="U14" s="3"/>
      <c r="V14" s="70"/>
      <c r="W14" s="71"/>
      <c r="X14" s="72"/>
      <c r="Y14" s="71"/>
      <c r="Z14" s="73"/>
      <c r="AK14" s="44">
        <v>32</v>
      </c>
    </row>
    <row r="15" spans="2:37" ht="72.599999999999994" customHeight="1" thickBot="1">
      <c r="B15" s="321">
        <v>1</v>
      </c>
      <c r="C15" s="136" t="s">
        <v>103</v>
      </c>
      <c r="D15" s="323">
        <v>36</v>
      </c>
      <c r="E15" s="120">
        <v>18</v>
      </c>
      <c r="F15" s="121">
        <v>16</v>
      </c>
      <c r="G15" s="121">
        <v>52</v>
      </c>
      <c r="H15" s="121">
        <v>55</v>
      </c>
      <c r="I15" s="121"/>
      <c r="J15" s="121"/>
      <c r="K15" s="121"/>
      <c r="L15" s="121"/>
      <c r="M15" s="121"/>
      <c r="N15" s="121"/>
      <c r="O15" s="122"/>
      <c r="P15" s="122"/>
      <c r="Q15" s="312">
        <f>SUM(E15:P15)</f>
        <v>141</v>
      </c>
      <c r="R15" s="314">
        <v>6</v>
      </c>
      <c r="S15" s="241">
        <v>350</v>
      </c>
      <c r="T15" s="243">
        <f>SUM(S15-Q15)</f>
        <v>209</v>
      </c>
      <c r="U15" s="3"/>
      <c r="V15" s="74">
        <f>SUM(E15,F15)</f>
        <v>34</v>
      </c>
      <c r="W15" s="75">
        <f>SUM(G15,H15)</f>
        <v>107</v>
      </c>
      <c r="X15" s="76">
        <f>SUM(I15,J15)</f>
        <v>0</v>
      </c>
      <c r="Y15" s="75">
        <f>SUM(K15,L15,M15,)</f>
        <v>0</v>
      </c>
      <c r="Z15" s="77">
        <f>SUM(N15,O15,P15)</f>
        <v>0</v>
      </c>
      <c r="AK15" s="45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72.599999999999994" customHeight="1" thickBot="1">
      <c r="B16" s="322"/>
      <c r="C16" s="137" t="s">
        <v>106</v>
      </c>
      <c r="D16" s="324"/>
      <c r="E16" s="123" t="str">
        <f t="shared" ref="E16:P16" si="1">IF(E15=0, "", IF(MOD(E15, $D$15) = 0, E15 / $D$15, IF(INT(E15 / $D$15) = 0, MOD(E15, $D$15) &amp; " P", INT(E15 / $D$15) &amp; " + " &amp; MOD(E15, $D$15) &amp; " P")))</f>
        <v>18 P</v>
      </c>
      <c r="F16" s="123" t="str">
        <f t="shared" si="1"/>
        <v>16 P</v>
      </c>
      <c r="G16" s="123" t="str">
        <f t="shared" si="1"/>
        <v>1 + 16 P</v>
      </c>
      <c r="H16" s="123" t="str">
        <f t="shared" si="1"/>
        <v>1 + 19 P</v>
      </c>
      <c r="I16" s="123" t="str">
        <f t="shared" si="1"/>
        <v/>
      </c>
      <c r="J16" s="123" t="str">
        <f t="shared" si="1"/>
        <v/>
      </c>
      <c r="K16" s="123" t="str">
        <f t="shared" si="1"/>
        <v/>
      </c>
      <c r="L16" s="123" t="str">
        <f t="shared" si="1"/>
        <v/>
      </c>
      <c r="M16" s="123" t="str">
        <f t="shared" si="1"/>
        <v/>
      </c>
      <c r="N16" s="123" t="str">
        <f t="shared" si="1"/>
        <v/>
      </c>
      <c r="O16" s="123" t="str">
        <f t="shared" si="1"/>
        <v/>
      </c>
      <c r="P16" s="123" t="str">
        <f t="shared" si="1"/>
        <v/>
      </c>
      <c r="Q16" s="313"/>
      <c r="R16" s="315"/>
      <c r="S16" s="242"/>
      <c r="T16" s="244"/>
      <c r="U16" s="3"/>
      <c r="V16" s="78"/>
      <c r="W16" s="79"/>
      <c r="X16" s="80"/>
      <c r="Y16" s="75"/>
      <c r="Z16" s="81"/>
      <c r="AK16" s="49">
        <v>129</v>
      </c>
    </row>
    <row r="17" spans="2:37" ht="72.599999999999994" customHeight="1" thickBot="1">
      <c r="B17" s="321">
        <v>2</v>
      </c>
      <c r="C17" s="138" t="s">
        <v>61</v>
      </c>
      <c r="D17" s="319">
        <v>32</v>
      </c>
      <c r="E17" s="120">
        <v>35</v>
      </c>
      <c r="F17" s="121">
        <v>34</v>
      </c>
      <c r="G17" s="121">
        <v>139</v>
      </c>
      <c r="H17" s="121">
        <v>90</v>
      </c>
      <c r="I17" s="124"/>
      <c r="J17" s="124"/>
      <c r="K17" s="124"/>
      <c r="L17" s="121"/>
      <c r="M17" s="121"/>
      <c r="N17" s="121"/>
      <c r="O17" s="122"/>
      <c r="P17" s="122"/>
      <c r="Q17" s="312">
        <f>SUM(E17:P17)</f>
        <v>298</v>
      </c>
      <c r="R17" s="314">
        <v>12</v>
      </c>
      <c r="S17" s="241">
        <v>790</v>
      </c>
      <c r="T17" s="243">
        <f>SUM(S17-Q17)</f>
        <v>492</v>
      </c>
      <c r="U17" s="3"/>
      <c r="V17" s="74">
        <f>SUM(E17,F17)</f>
        <v>69</v>
      </c>
      <c r="W17" s="79">
        <f>SUM(G17,H17)</f>
        <v>229</v>
      </c>
      <c r="X17" s="80">
        <f>SUM(I17,J17)</f>
        <v>0</v>
      </c>
      <c r="Y17" s="75">
        <f>SUM(K17,L17,M17,)</f>
        <v>0</v>
      </c>
      <c r="Z17" s="77">
        <f>SUM(N17,O17,P17)</f>
        <v>0</v>
      </c>
      <c r="AK17" s="50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72.599999999999994" customHeight="1" thickBot="1">
      <c r="B18" s="322"/>
      <c r="C18" s="139" t="s">
        <v>110</v>
      </c>
      <c r="D18" s="320"/>
      <c r="E18" s="123" t="str">
        <f t="shared" ref="E18:P18" si="3">IF(E17=0, "", IF(MOD(E17, $D$17) = 0, E17 / $D$17, IF(INT(E17 / $D$17) = 0, MOD(E17, $D$17) &amp; " P", INT(E17 / $D$17) &amp; " + " &amp; MOD(E17, $D$17) &amp; " P")))</f>
        <v>1 + 3 P</v>
      </c>
      <c r="F18" s="123" t="str">
        <f t="shared" si="3"/>
        <v>1 + 2 P</v>
      </c>
      <c r="G18" s="123" t="str">
        <f t="shared" si="3"/>
        <v>4 + 11 P</v>
      </c>
      <c r="H18" s="123" t="str">
        <f t="shared" si="3"/>
        <v>2 + 26 P</v>
      </c>
      <c r="I18" s="123" t="str">
        <f t="shared" si="3"/>
        <v/>
      </c>
      <c r="J18" s="123" t="str">
        <f>IF(J17=0, "", IF(MOD(J17, $D$17) = 0, J17 / $D$17, IF(INT(J17 / $D$17) = 0, MOD(J17, $D$17) &amp; " P", INT(J17 / $D$17) &amp; " + " &amp; MOD(J17, $D$17) &amp; " P")))</f>
        <v/>
      </c>
      <c r="K18" s="123" t="str">
        <f t="shared" si="3"/>
        <v/>
      </c>
      <c r="L18" s="123" t="str">
        <f t="shared" si="3"/>
        <v/>
      </c>
      <c r="M18" s="123" t="str">
        <f t="shared" si="3"/>
        <v/>
      </c>
      <c r="N18" s="123" t="str">
        <f t="shared" si="3"/>
        <v/>
      </c>
      <c r="O18" s="123" t="str">
        <f t="shared" si="3"/>
        <v/>
      </c>
      <c r="P18" s="123" t="str">
        <f t="shared" si="3"/>
        <v/>
      </c>
      <c r="Q18" s="313"/>
      <c r="R18" s="315"/>
      <c r="S18" s="242"/>
      <c r="T18" s="244"/>
      <c r="U18" s="3"/>
      <c r="V18" s="78"/>
      <c r="W18" s="79"/>
      <c r="X18" s="80"/>
      <c r="Y18" s="75"/>
      <c r="Z18" s="81"/>
      <c r="AK18" s="51">
        <v>54</v>
      </c>
    </row>
    <row r="19" spans="2:37" ht="72.599999999999994" customHeight="1" thickBot="1">
      <c r="B19" s="321">
        <v>3</v>
      </c>
      <c r="C19" s="138" t="s">
        <v>126</v>
      </c>
      <c r="D19" s="319">
        <v>36</v>
      </c>
      <c r="E19" s="125">
        <v>3</v>
      </c>
      <c r="F19" s="126">
        <v>8</v>
      </c>
      <c r="G19" s="126">
        <v>42</v>
      </c>
      <c r="H19" s="126">
        <v>20</v>
      </c>
      <c r="I19" s="127"/>
      <c r="J19" s="127"/>
      <c r="K19" s="127"/>
      <c r="L19" s="126"/>
      <c r="M19" s="126"/>
      <c r="N19" s="126"/>
      <c r="O19" s="128"/>
      <c r="P19" s="128"/>
      <c r="Q19" s="312">
        <f>SUM(E19:P19)</f>
        <v>73</v>
      </c>
      <c r="R19" s="314">
        <v>5</v>
      </c>
      <c r="S19" s="241">
        <v>240</v>
      </c>
      <c r="T19" s="243">
        <f>SUM(S19-Q19)</f>
        <v>167</v>
      </c>
      <c r="U19" s="3"/>
      <c r="V19" s="78">
        <f>SUM(E19,F19)</f>
        <v>11</v>
      </c>
      <c r="W19" s="79">
        <f>SUM(G19,H19)</f>
        <v>62</v>
      </c>
      <c r="X19" s="80">
        <f>SUM(I19,J19)</f>
        <v>0</v>
      </c>
      <c r="Y19" s="75">
        <f>SUM(K19,L19,M19,)</f>
        <v>0</v>
      </c>
      <c r="Z19" s="77">
        <f>SUM(N19,O19,P19)</f>
        <v>0</v>
      </c>
      <c r="AK19" s="50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72" customHeight="1" thickBot="1">
      <c r="B20" s="322"/>
      <c r="C20" s="140" t="s">
        <v>127</v>
      </c>
      <c r="D20" s="320"/>
      <c r="E20" s="123" t="str">
        <f t="shared" ref="E20:P20" si="5">IF(E19=0, "", IF(MOD(E19, $D$19) = 0, E19/ $D$19, IF(INT(E19 / $D$19) = 0, MOD(E19, $D$19) &amp; " P", INT(E19 / $D$19) &amp; " + " &amp; MOD(E19, $D$19) &amp; " P")))</f>
        <v>3 P</v>
      </c>
      <c r="F20" s="123" t="str">
        <f t="shared" si="5"/>
        <v>8 P</v>
      </c>
      <c r="G20" s="123" t="str">
        <f t="shared" si="5"/>
        <v>1 + 6 P</v>
      </c>
      <c r="H20" s="123" t="str">
        <f t="shared" si="5"/>
        <v>20 P</v>
      </c>
      <c r="I20" s="123" t="str">
        <f t="shared" si="5"/>
        <v/>
      </c>
      <c r="J20" s="123" t="str">
        <f t="shared" si="5"/>
        <v/>
      </c>
      <c r="K20" s="123" t="str">
        <f t="shared" si="5"/>
        <v/>
      </c>
      <c r="L20" s="123" t="str">
        <f t="shared" si="5"/>
        <v/>
      </c>
      <c r="M20" s="123" t="str">
        <f t="shared" si="5"/>
        <v/>
      </c>
      <c r="N20" s="123" t="str">
        <f t="shared" si="5"/>
        <v/>
      </c>
      <c r="O20" s="123" t="str">
        <f t="shared" si="5"/>
        <v/>
      </c>
      <c r="P20" s="123" t="str">
        <f t="shared" si="5"/>
        <v/>
      </c>
      <c r="Q20" s="313"/>
      <c r="R20" s="315"/>
      <c r="S20" s="242"/>
      <c r="T20" s="244"/>
      <c r="U20" s="3"/>
      <c r="V20" s="78"/>
      <c r="W20" s="79"/>
      <c r="X20" s="80"/>
      <c r="Y20" s="75"/>
      <c r="Z20" s="81"/>
      <c r="AK20" s="49">
        <v>12</v>
      </c>
    </row>
    <row r="21" spans="2:37" ht="72.599999999999994" customHeight="1" thickBot="1">
      <c r="B21" s="321">
        <v>4</v>
      </c>
      <c r="C21" s="138" t="s">
        <v>62</v>
      </c>
      <c r="D21" s="319">
        <v>32</v>
      </c>
      <c r="E21" s="120">
        <v>131</v>
      </c>
      <c r="F21" s="121">
        <v>156</v>
      </c>
      <c r="G21" s="121">
        <v>203</v>
      </c>
      <c r="H21" s="121">
        <v>209</v>
      </c>
      <c r="I21" s="124"/>
      <c r="J21" s="124"/>
      <c r="K21" s="124"/>
      <c r="L21" s="121"/>
      <c r="M21" s="121"/>
      <c r="N21" s="121"/>
      <c r="O21" s="122"/>
      <c r="P21" s="122"/>
      <c r="Q21" s="312">
        <f>SUM(E21:P21)</f>
        <v>699</v>
      </c>
      <c r="R21" s="314">
        <v>24</v>
      </c>
      <c r="S21" s="241">
        <v>1272</v>
      </c>
      <c r="T21" s="243">
        <f>SUM(S21-Q21)</f>
        <v>573</v>
      </c>
      <c r="U21" s="3"/>
      <c r="V21" s="78">
        <f>SUM(E21,F21)</f>
        <v>287</v>
      </c>
      <c r="W21" s="79">
        <f>SUM(G21,H21)</f>
        <v>412</v>
      </c>
      <c r="X21" s="80">
        <f>SUM(I21,J21)</f>
        <v>0</v>
      </c>
      <c r="Y21" s="75">
        <f>SUM(K21,L21,M21,)</f>
        <v>0</v>
      </c>
      <c r="Z21" s="77">
        <f>SUM(N21,O21,P21)</f>
        <v>0</v>
      </c>
      <c r="AK21" s="50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72.599999999999994" customHeight="1" thickBot="1">
      <c r="B22" s="322"/>
      <c r="C22" s="139" t="s">
        <v>111</v>
      </c>
      <c r="D22" s="320"/>
      <c r="E22" s="123" t="str">
        <f t="shared" ref="E22:P22" si="7">IF(E21=0, "", IF(MOD(E21, $D$21) = 0, E21/ $D$21, IF(INT(E21 / $D$21) = 0, MOD(E21, $D$21) &amp; " P", INT(E21 / $D$21) &amp; " + " &amp; MOD(E21, $D$21) &amp; " P")))</f>
        <v>4 + 3 P</v>
      </c>
      <c r="F22" s="123" t="str">
        <f t="shared" si="7"/>
        <v>4 + 28 P</v>
      </c>
      <c r="G22" s="123" t="str">
        <f t="shared" si="7"/>
        <v>6 + 11 P</v>
      </c>
      <c r="H22" s="123" t="str">
        <f t="shared" si="7"/>
        <v>6 + 17 P</v>
      </c>
      <c r="I22" s="123" t="str">
        <f t="shared" si="7"/>
        <v/>
      </c>
      <c r="J22" s="123" t="str">
        <f t="shared" si="7"/>
        <v/>
      </c>
      <c r="K22" s="123" t="str">
        <f t="shared" si="7"/>
        <v/>
      </c>
      <c r="L22" s="123" t="str">
        <f t="shared" si="7"/>
        <v/>
      </c>
      <c r="M22" s="123" t="str">
        <f t="shared" si="7"/>
        <v/>
      </c>
      <c r="N22" s="123" t="str">
        <f t="shared" si="7"/>
        <v/>
      </c>
      <c r="O22" s="123" t="str">
        <f t="shared" si="7"/>
        <v/>
      </c>
      <c r="P22" s="123" t="str">
        <f t="shared" si="7"/>
        <v/>
      </c>
      <c r="Q22" s="313"/>
      <c r="R22" s="315"/>
      <c r="S22" s="242"/>
      <c r="T22" s="244"/>
      <c r="U22" s="3"/>
      <c r="V22" s="78"/>
      <c r="W22" s="79"/>
      <c r="X22" s="80"/>
      <c r="Y22" s="75"/>
      <c r="Z22" s="81"/>
      <c r="AK22" s="47">
        <v>227</v>
      </c>
    </row>
    <row r="23" spans="2:37" ht="72.599999999999994" customHeight="1" thickBot="1">
      <c r="B23" s="118">
        <v>5</v>
      </c>
      <c r="C23" s="141" t="s">
        <v>108</v>
      </c>
      <c r="D23" s="319">
        <v>18</v>
      </c>
      <c r="E23" s="129">
        <v>3</v>
      </c>
      <c r="F23" s="130">
        <v>0</v>
      </c>
      <c r="G23" s="130">
        <v>24</v>
      </c>
      <c r="H23" s="130">
        <v>7</v>
      </c>
      <c r="I23" s="131"/>
      <c r="J23" s="131"/>
      <c r="K23" s="131"/>
      <c r="L23" s="130"/>
      <c r="M23" s="130"/>
      <c r="N23" s="130"/>
      <c r="O23" s="132"/>
      <c r="P23" s="132"/>
      <c r="Q23" s="312">
        <f>SUM(E23:P23)</f>
        <v>34</v>
      </c>
      <c r="R23" s="314">
        <v>4</v>
      </c>
      <c r="S23" s="241">
        <v>100</v>
      </c>
      <c r="T23" s="243">
        <f>SUM(S23-Q23)</f>
        <v>66</v>
      </c>
      <c r="U23" s="3"/>
      <c r="V23" s="78">
        <f>SUM(E23,F23)</f>
        <v>3</v>
      </c>
      <c r="W23" s="79">
        <f>SUM(G23,H23)</f>
        <v>31</v>
      </c>
      <c r="X23" s="80">
        <f>SUM(I23,J23)</f>
        <v>0</v>
      </c>
      <c r="Y23" s="75">
        <f>SUM(K23,L23,M23,)</f>
        <v>0</v>
      </c>
      <c r="Z23" s="77">
        <f>SUM(N23,O23,P23)</f>
        <v>0</v>
      </c>
      <c r="AK23" s="48" t="str">
        <f t="shared" ref="AK23" si="8">IF(AK22=0, "", IF(MOD(AK22, $D$23) = 0, AK22/ $D$23, IF(INT(AK22 / $D$23) = 0, MOD(AK22, $D$23) &amp; " P", INT(AK22 / $D$23) &amp; " + " &amp; MOD(AK22, $D$23) &amp; " P")))</f>
        <v>12 + 11 P</v>
      </c>
    </row>
    <row r="24" spans="2:37" ht="72.599999999999994" customHeight="1" thickBot="1">
      <c r="B24" s="119"/>
      <c r="C24" s="139" t="s">
        <v>112</v>
      </c>
      <c r="D24" s="320"/>
      <c r="E24" s="133" t="str">
        <f t="shared" ref="E24:P24" si="9">IF(E23=0, "", IF(MOD(E23, $D$23) = 0, E23/ $D$23, IF(INT(E23 / $D$23) = 0, MOD(E23, $D$23) &amp; " P", INT(E23 / $D$23) &amp; " + " &amp; MOD(E23, $D$23) &amp; " P")))</f>
        <v>3 P</v>
      </c>
      <c r="F24" s="133" t="str">
        <f t="shared" si="9"/>
        <v/>
      </c>
      <c r="G24" s="133" t="str">
        <f t="shared" si="9"/>
        <v>1 + 6 P</v>
      </c>
      <c r="H24" s="133" t="str">
        <f t="shared" si="9"/>
        <v>7 P</v>
      </c>
      <c r="I24" s="133" t="str">
        <f t="shared" si="9"/>
        <v/>
      </c>
      <c r="J24" s="133" t="str">
        <f t="shared" si="9"/>
        <v/>
      </c>
      <c r="K24" s="133" t="str">
        <f t="shared" si="9"/>
        <v/>
      </c>
      <c r="L24" s="133" t="str">
        <f t="shared" si="9"/>
        <v/>
      </c>
      <c r="M24" s="133" t="str">
        <f t="shared" si="9"/>
        <v/>
      </c>
      <c r="N24" s="133" t="str">
        <f t="shared" si="9"/>
        <v/>
      </c>
      <c r="O24" s="133" t="str">
        <f t="shared" si="9"/>
        <v/>
      </c>
      <c r="P24" s="133" t="str">
        <f t="shared" si="9"/>
        <v/>
      </c>
      <c r="Q24" s="313"/>
      <c r="R24" s="315"/>
      <c r="S24" s="242"/>
      <c r="T24" s="244"/>
      <c r="U24" s="3"/>
      <c r="V24" s="78"/>
      <c r="W24" s="79"/>
      <c r="X24" s="80"/>
      <c r="Y24" s="75"/>
      <c r="Z24" s="81"/>
      <c r="AK24" s="49">
        <v>25</v>
      </c>
    </row>
    <row r="25" spans="2:37" ht="72.599999999999994" customHeight="1" thickBot="1">
      <c r="B25" s="118">
        <v>6</v>
      </c>
      <c r="C25" s="142" t="s">
        <v>63</v>
      </c>
      <c r="D25" s="310">
        <v>36</v>
      </c>
      <c r="E25" s="120">
        <v>10</v>
      </c>
      <c r="F25" s="121">
        <v>8</v>
      </c>
      <c r="G25" s="121">
        <v>123</v>
      </c>
      <c r="H25" s="121">
        <v>51</v>
      </c>
      <c r="I25" s="124"/>
      <c r="J25" s="124"/>
      <c r="K25" s="124"/>
      <c r="L25" s="121"/>
      <c r="M25" s="121"/>
      <c r="N25" s="121"/>
      <c r="O25" s="122"/>
      <c r="P25" s="122"/>
      <c r="Q25" s="312">
        <f>SUM(E25:P25)</f>
        <v>192</v>
      </c>
      <c r="R25" s="314">
        <v>8</v>
      </c>
      <c r="S25" s="241">
        <v>650</v>
      </c>
      <c r="T25" s="243">
        <f>SUM(S25-Q25)</f>
        <v>458</v>
      </c>
      <c r="U25" s="3"/>
      <c r="V25" s="78">
        <f>SUM(E25,F25)</f>
        <v>18</v>
      </c>
      <c r="W25" s="79">
        <f>SUM(G25,H25)</f>
        <v>174</v>
      </c>
      <c r="X25" s="80">
        <f>SUM(I25,J25)</f>
        <v>0</v>
      </c>
      <c r="Y25" s="75">
        <f>SUM(K25,L25,M25,)</f>
        <v>0</v>
      </c>
      <c r="Z25" s="77">
        <f>SUM(N25,O25,P25)</f>
        <v>0</v>
      </c>
      <c r="AK25" s="50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72.599999999999994" customHeight="1" thickBot="1">
      <c r="B26" s="119"/>
      <c r="C26" s="139" t="s">
        <v>113</v>
      </c>
      <c r="D26" s="311"/>
      <c r="E26" s="123" t="str">
        <f t="shared" ref="E26:P26" si="11">IF(E25=0, "", IF(MOD(E25, $D$25) = 0, E25/ $D$25, IF(INT(E25 / $D$25) = 0, MOD(E25, $D$25) &amp; " P", INT(E25 / $D$25) &amp; " + " &amp; MOD(E25, $D$25) &amp; " P")))</f>
        <v>10 P</v>
      </c>
      <c r="F26" s="123" t="str">
        <f t="shared" si="11"/>
        <v>8 P</v>
      </c>
      <c r="G26" s="123" t="str">
        <f t="shared" si="11"/>
        <v>3 + 15 P</v>
      </c>
      <c r="H26" s="123" t="str">
        <f t="shared" si="11"/>
        <v>1 + 15 P</v>
      </c>
      <c r="I26" s="123" t="str">
        <f t="shared" si="11"/>
        <v/>
      </c>
      <c r="J26" s="123" t="str">
        <f t="shared" si="11"/>
        <v/>
      </c>
      <c r="K26" s="123" t="str">
        <f t="shared" si="11"/>
        <v/>
      </c>
      <c r="L26" s="123" t="str">
        <f t="shared" si="11"/>
        <v/>
      </c>
      <c r="M26" s="123" t="str">
        <f t="shared" si="11"/>
        <v/>
      </c>
      <c r="N26" s="123" t="str">
        <f t="shared" si="11"/>
        <v/>
      </c>
      <c r="O26" s="123" t="str">
        <f t="shared" si="11"/>
        <v/>
      </c>
      <c r="P26" s="123" t="str">
        <f t="shared" si="11"/>
        <v/>
      </c>
      <c r="Q26" s="313"/>
      <c r="R26" s="315"/>
      <c r="S26" s="242"/>
      <c r="T26" s="244"/>
      <c r="U26" s="3"/>
      <c r="V26" s="78"/>
      <c r="W26" s="79"/>
      <c r="X26" s="80"/>
      <c r="Y26" s="75"/>
      <c r="Z26" s="81"/>
      <c r="AK26" s="49">
        <v>2</v>
      </c>
    </row>
    <row r="27" spans="2:37" ht="72.599999999999994" customHeight="1" thickBot="1">
      <c r="B27" s="118">
        <v>7</v>
      </c>
      <c r="C27" s="138" t="s">
        <v>104</v>
      </c>
      <c r="D27" s="310">
        <v>20</v>
      </c>
      <c r="E27" s="120">
        <v>7</v>
      </c>
      <c r="F27" s="121">
        <v>5</v>
      </c>
      <c r="G27" s="121">
        <v>22</v>
      </c>
      <c r="H27" s="121">
        <v>15</v>
      </c>
      <c r="I27" s="124"/>
      <c r="J27" s="124"/>
      <c r="K27" s="124"/>
      <c r="L27" s="121"/>
      <c r="M27" s="121"/>
      <c r="N27" s="121"/>
      <c r="O27" s="122"/>
      <c r="P27" s="122"/>
      <c r="Q27" s="312">
        <f>SUM(E27:P27)</f>
        <v>49</v>
      </c>
      <c r="R27" s="314">
        <v>5</v>
      </c>
      <c r="S27" s="241">
        <v>140</v>
      </c>
      <c r="T27" s="243">
        <f>SUM(S27-Q27)</f>
        <v>91</v>
      </c>
      <c r="U27" s="3"/>
      <c r="V27" s="74">
        <f>SUM(E27,F27)</f>
        <v>12</v>
      </c>
      <c r="W27" s="79">
        <f>SUM(G27,H27)</f>
        <v>37</v>
      </c>
      <c r="X27" s="80">
        <f>SUM(I27,J27)</f>
        <v>0</v>
      </c>
      <c r="Y27" s="75">
        <f>SUM(K27,L27,M27,)</f>
        <v>0</v>
      </c>
      <c r="Z27" s="77">
        <f>SUM(N27,O27,P27)</f>
        <v>0</v>
      </c>
      <c r="AK27" s="50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72.599999999999994" customHeight="1" thickBot="1">
      <c r="B28" s="119"/>
      <c r="C28" s="140" t="s">
        <v>107</v>
      </c>
      <c r="D28" s="311"/>
      <c r="E28" s="123" t="str">
        <f t="shared" ref="E28:P28" si="13">IF(E27=0, "", IF(MOD(E27, $D$27) = 0, E27/ $D$27, IF(INT(E27 / $D$27) = 0, MOD(E27, $D$27) &amp; " P", INT(E27 / $D$27) &amp; " + " &amp; MOD(E27, $D$27) &amp; " P")))</f>
        <v>7 P</v>
      </c>
      <c r="F28" s="123" t="str">
        <f t="shared" si="13"/>
        <v>5 P</v>
      </c>
      <c r="G28" s="123" t="str">
        <f t="shared" si="13"/>
        <v>1 + 2 P</v>
      </c>
      <c r="H28" s="123" t="str">
        <f t="shared" si="13"/>
        <v>15 P</v>
      </c>
      <c r="I28" s="123" t="str">
        <f t="shared" si="13"/>
        <v/>
      </c>
      <c r="J28" s="123" t="str">
        <f t="shared" si="13"/>
        <v/>
      </c>
      <c r="K28" s="123" t="str">
        <f t="shared" si="13"/>
        <v/>
      </c>
      <c r="L28" s="123" t="str">
        <f t="shared" si="13"/>
        <v/>
      </c>
      <c r="M28" s="123" t="str">
        <f t="shared" si="13"/>
        <v/>
      </c>
      <c r="N28" s="123" t="str">
        <f t="shared" si="13"/>
        <v/>
      </c>
      <c r="O28" s="123" t="str">
        <f t="shared" si="13"/>
        <v/>
      </c>
      <c r="P28" s="123" t="str">
        <f t="shared" si="13"/>
        <v/>
      </c>
      <c r="Q28" s="313"/>
      <c r="R28" s="315"/>
      <c r="S28" s="242"/>
      <c r="T28" s="244"/>
      <c r="U28" s="3"/>
      <c r="V28" s="74"/>
      <c r="W28" s="79"/>
      <c r="X28" s="80"/>
      <c r="Y28" s="75"/>
      <c r="Z28" s="81"/>
      <c r="AK28" s="51">
        <v>74</v>
      </c>
    </row>
    <row r="29" spans="2:37" ht="72.599999999999994" customHeight="1" thickBot="1">
      <c r="B29" s="118">
        <v>8</v>
      </c>
      <c r="C29" s="142" t="s">
        <v>128</v>
      </c>
      <c r="D29" s="310">
        <v>15</v>
      </c>
      <c r="E29" s="125">
        <v>10</v>
      </c>
      <c r="F29" s="126">
        <v>19</v>
      </c>
      <c r="G29" s="126">
        <v>39</v>
      </c>
      <c r="H29" s="126">
        <v>26</v>
      </c>
      <c r="I29" s="127"/>
      <c r="J29" s="127"/>
      <c r="K29" s="127"/>
      <c r="L29" s="126"/>
      <c r="M29" s="126"/>
      <c r="N29" s="126"/>
      <c r="O29" s="128"/>
      <c r="P29" s="128"/>
      <c r="Q29" s="312">
        <f>SUM(E29:P29)</f>
        <v>94</v>
      </c>
      <c r="R29" s="314">
        <v>8</v>
      </c>
      <c r="S29" s="241">
        <v>240</v>
      </c>
      <c r="T29" s="243">
        <f>SUM(S29-Q29)</f>
        <v>146</v>
      </c>
      <c r="U29" s="3"/>
      <c r="V29" s="74">
        <f>SUM(E29,F29)</f>
        <v>29</v>
      </c>
      <c r="W29" s="75">
        <f>SUM(G29,H29)</f>
        <v>65</v>
      </c>
      <c r="X29" s="76">
        <f>SUM(I29,J29)</f>
        <v>0</v>
      </c>
      <c r="Y29" s="75">
        <f>SUM(K29,L29,M29,)</f>
        <v>0</v>
      </c>
      <c r="Z29" s="77">
        <f>SUM(N29,O29,P29)</f>
        <v>0</v>
      </c>
      <c r="AK29" s="45" t="str">
        <f>IF(AK28=0, "", IF(MOD(AK28, $D$29) = 0, AK28/ $D$29, IF(INT(AK28 / $D$29) = 0, MOD(AK28, $D$29) &amp; " P", INT(AK28 / $D$29) &amp; " + " &amp; MOD(AK28, $D$29) &amp; " P")))</f>
        <v>4 + 14 P</v>
      </c>
    </row>
    <row r="30" spans="2:37" ht="72.599999999999994" customHeight="1" thickBot="1">
      <c r="B30" s="119"/>
      <c r="C30" s="139" t="s">
        <v>129</v>
      </c>
      <c r="D30" s="311"/>
      <c r="E30" s="123" t="str">
        <f t="shared" ref="E30:P30" si="14">IF(E29=0, "", IF(MOD(E29, $D$29) = 0, E29/ $D$29, IF(INT(E29 / $D$29) = 0, MOD(E29, $D$29) &amp; " P", INT(E29 / $D$29) &amp; " + " &amp; MOD(E29, $D$29) &amp; " P")))</f>
        <v>10 P</v>
      </c>
      <c r="F30" s="123" t="str">
        <f t="shared" si="14"/>
        <v>1 + 4 P</v>
      </c>
      <c r="G30" s="123" t="str">
        <f t="shared" si="14"/>
        <v>2 + 9 P</v>
      </c>
      <c r="H30" s="123" t="str">
        <f t="shared" si="14"/>
        <v>1 + 11 P</v>
      </c>
      <c r="I30" s="123" t="str">
        <f t="shared" si="14"/>
        <v/>
      </c>
      <c r="J30" s="123" t="str">
        <f t="shared" si="14"/>
        <v/>
      </c>
      <c r="K30" s="123" t="str">
        <f t="shared" si="14"/>
        <v/>
      </c>
      <c r="L30" s="123" t="str">
        <f t="shared" si="14"/>
        <v/>
      </c>
      <c r="M30" s="123" t="str">
        <f t="shared" si="14"/>
        <v/>
      </c>
      <c r="N30" s="123" t="str">
        <f t="shared" si="14"/>
        <v/>
      </c>
      <c r="O30" s="123" t="str">
        <f t="shared" si="14"/>
        <v/>
      </c>
      <c r="P30" s="123" t="str">
        <f t="shared" si="14"/>
        <v/>
      </c>
      <c r="Q30" s="313"/>
      <c r="R30" s="315"/>
      <c r="S30" s="242"/>
      <c r="T30" s="244"/>
      <c r="U30" s="3"/>
      <c r="V30" s="74"/>
      <c r="W30" s="79"/>
      <c r="X30" s="80"/>
      <c r="Y30" s="75"/>
      <c r="Z30" s="81"/>
      <c r="AK30" s="46">
        <v>34</v>
      </c>
    </row>
    <row r="31" spans="2:37" ht="72.599999999999994" customHeight="1" thickBot="1">
      <c r="B31" s="118">
        <v>9</v>
      </c>
      <c r="C31" s="142" t="s">
        <v>64</v>
      </c>
      <c r="D31" s="310">
        <v>45</v>
      </c>
      <c r="E31" s="125">
        <v>1</v>
      </c>
      <c r="F31" s="126">
        <v>0</v>
      </c>
      <c r="G31" s="126">
        <v>7</v>
      </c>
      <c r="H31" s="126">
        <v>1</v>
      </c>
      <c r="I31" s="126"/>
      <c r="J31" s="126"/>
      <c r="K31" s="126"/>
      <c r="L31" s="126"/>
      <c r="M31" s="126"/>
      <c r="N31" s="126"/>
      <c r="O31" s="128"/>
      <c r="P31" s="128"/>
      <c r="Q31" s="312">
        <f>SUM(E31:P31)</f>
        <v>9</v>
      </c>
      <c r="R31" s="318">
        <v>3</v>
      </c>
      <c r="S31" s="241">
        <v>70</v>
      </c>
      <c r="T31" s="243">
        <f>SUM(S31-Q31)</f>
        <v>61</v>
      </c>
      <c r="U31" s="3"/>
      <c r="V31" s="74">
        <f>SUM(E31,F31)</f>
        <v>1</v>
      </c>
      <c r="W31" s="75">
        <f>SUM(G31,H31)</f>
        <v>8</v>
      </c>
      <c r="X31" s="76">
        <f>SUM(I31,J31)</f>
        <v>0</v>
      </c>
      <c r="Y31" s="75">
        <f>SUM(K31,L31,M31,)</f>
        <v>0</v>
      </c>
      <c r="Z31" s="77">
        <f>SUM(N31,O31,P31)</f>
        <v>0</v>
      </c>
      <c r="AK31" s="45" t="str">
        <f t="shared" ref="AK31:AK33" si="15">IF(AK30=0, "", IF(MOD(AK30, $D$31) = 0, AK30/ $D$31, IF(INT(AK30 / $D$31) = 0, MOD(AK30, $D$31) &amp; " P", INT(AK30 / $D$31) &amp; " + " &amp; MOD(AK30, $D$31) &amp; " P")))</f>
        <v>34 P</v>
      </c>
    </row>
    <row r="32" spans="2:37" ht="72.599999999999994" customHeight="1" thickBot="1">
      <c r="B32" s="119"/>
      <c r="C32" s="140" t="s">
        <v>114</v>
      </c>
      <c r="D32" s="311"/>
      <c r="E32" s="123" t="str">
        <f t="shared" ref="E32:P32" si="16">IF(E31=0, "", IF(MOD(E31, $D$31) = 0, E31/ $D$31, IF(INT(E31 / $D$31) = 0, MOD(E31, $D$31) &amp; " P", INT(E31 / $D$31) &amp; " + " &amp; MOD(E31, $D$31) &amp; " P")))</f>
        <v>1 P</v>
      </c>
      <c r="F32" s="123" t="str">
        <f t="shared" si="16"/>
        <v/>
      </c>
      <c r="G32" s="123" t="str">
        <f t="shared" si="16"/>
        <v>7 P</v>
      </c>
      <c r="H32" s="123" t="str">
        <f t="shared" si="16"/>
        <v>1 P</v>
      </c>
      <c r="I32" s="123" t="str">
        <f t="shared" si="16"/>
        <v/>
      </c>
      <c r="J32" s="123" t="str">
        <f t="shared" si="16"/>
        <v/>
      </c>
      <c r="K32" s="123" t="str">
        <f t="shared" si="16"/>
        <v/>
      </c>
      <c r="L32" s="123" t="str">
        <f t="shared" si="16"/>
        <v/>
      </c>
      <c r="M32" s="123" t="str">
        <f t="shared" si="16"/>
        <v/>
      </c>
      <c r="N32" s="123" t="str">
        <f t="shared" si="16"/>
        <v/>
      </c>
      <c r="O32" s="123" t="str">
        <f t="shared" si="16"/>
        <v/>
      </c>
      <c r="P32" s="123" t="str">
        <f t="shared" si="16"/>
        <v/>
      </c>
      <c r="Q32" s="313"/>
      <c r="R32" s="315"/>
      <c r="S32" s="242"/>
      <c r="T32" s="244"/>
      <c r="U32" s="3"/>
      <c r="V32" s="74"/>
      <c r="W32" s="79"/>
      <c r="X32" s="80"/>
      <c r="Y32" s="75"/>
      <c r="Z32" s="81"/>
      <c r="AK32" s="46">
        <v>33</v>
      </c>
    </row>
    <row r="33" spans="2:37" ht="72.599999999999994" customHeight="1" thickBot="1">
      <c r="B33" s="118">
        <v>10</v>
      </c>
      <c r="C33" s="142" t="s">
        <v>132</v>
      </c>
      <c r="D33" s="310">
        <v>15</v>
      </c>
      <c r="E33" s="125">
        <v>23</v>
      </c>
      <c r="F33" s="126">
        <v>25</v>
      </c>
      <c r="G33" s="126">
        <v>33</v>
      </c>
      <c r="H33" s="126">
        <v>53</v>
      </c>
      <c r="I33" s="126"/>
      <c r="J33" s="126"/>
      <c r="K33" s="126"/>
      <c r="L33" s="126"/>
      <c r="M33" s="126"/>
      <c r="N33" s="126"/>
      <c r="O33" s="128"/>
      <c r="P33" s="128"/>
      <c r="Q33" s="312">
        <f>SUM(E33:P33)</f>
        <v>134</v>
      </c>
      <c r="R33" s="318">
        <v>11</v>
      </c>
      <c r="S33" s="241">
        <v>320</v>
      </c>
      <c r="T33" s="243">
        <f t="shared" ref="T33" si="17">SUM(S33-Q33)</f>
        <v>186</v>
      </c>
      <c r="U33" s="3"/>
      <c r="V33" s="74">
        <f>SUM(E33,F33)</f>
        <v>48</v>
      </c>
      <c r="W33" s="75">
        <f>SUM(G33,H33)</f>
        <v>86</v>
      </c>
      <c r="X33" s="76">
        <f>SUM(I33,J33)</f>
        <v>0</v>
      </c>
      <c r="Y33" s="75">
        <f>SUM(K33,L33,M33,)</f>
        <v>0</v>
      </c>
      <c r="Z33" s="77">
        <f>SUM(N33,O33,P33)</f>
        <v>0</v>
      </c>
      <c r="AK33" s="45" t="str">
        <f t="shared" si="15"/>
        <v>33 P</v>
      </c>
    </row>
    <row r="34" spans="2:37" ht="72.599999999999994" customHeight="1" thickBot="1">
      <c r="B34" s="119"/>
      <c r="C34" s="140" t="s">
        <v>133</v>
      </c>
      <c r="D34" s="311"/>
      <c r="E34" s="123" t="str">
        <f>IF(E33=0, "", IF(MOD(E33, $D$33) = 0, E33/ $D$33, IF(INT(E33 / $D$33) = 0, MOD(E33, $D$33) &amp; " P", INT(E33 / $D$33) &amp; " + " &amp; MOD(E33, $D$33) &amp; " P")))</f>
        <v>1 + 8 P</v>
      </c>
      <c r="F34" s="123" t="str">
        <f t="shared" ref="F34:P34" si="18">IF(F33=0, "", IF(MOD(F33, $D$33) = 0, F33/ $D$33, IF(INT(F33 / $D$33) = 0, MOD(F33, $D$33) &amp; " P", INT(F33 / $D$33) &amp; " + " &amp; MOD(F33, $D$33) &amp; " P")))</f>
        <v>1 + 10 P</v>
      </c>
      <c r="G34" s="123" t="str">
        <f t="shared" si="18"/>
        <v>2 + 3 P</v>
      </c>
      <c r="H34" s="123" t="str">
        <f t="shared" si="18"/>
        <v>3 + 8 P</v>
      </c>
      <c r="I34" s="123" t="str">
        <f t="shared" si="18"/>
        <v/>
      </c>
      <c r="J34" s="123" t="str">
        <f t="shared" si="18"/>
        <v/>
      </c>
      <c r="K34" s="123" t="str">
        <f t="shared" si="18"/>
        <v/>
      </c>
      <c r="L34" s="123" t="str">
        <f t="shared" si="18"/>
        <v/>
      </c>
      <c r="M34" s="123" t="str">
        <f t="shared" si="18"/>
        <v/>
      </c>
      <c r="N34" s="123" t="str">
        <f t="shared" si="18"/>
        <v/>
      </c>
      <c r="O34" s="123" t="str">
        <f t="shared" si="18"/>
        <v/>
      </c>
      <c r="P34" s="123" t="str">
        <f t="shared" si="18"/>
        <v/>
      </c>
      <c r="Q34" s="313"/>
      <c r="R34" s="315"/>
      <c r="S34" s="242"/>
      <c r="T34" s="244"/>
      <c r="U34" s="3"/>
      <c r="V34" s="74"/>
      <c r="W34" s="79"/>
      <c r="X34" s="80"/>
      <c r="Y34" s="75"/>
      <c r="Z34" s="81"/>
      <c r="AK34" s="46">
        <v>33</v>
      </c>
    </row>
    <row r="35" spans="2:37" ht="72.599999999999994" customHeight="1" thickBot="1">
      <c r="B35" s="118">
        <v>11</v>
      </c>
      <c r="C35" s="142" t="s">
        <v>109</v>
      </c>
      <c r="D35" s="310">
        <v>15</v>
      </c>
      <c r="E35" s="134">
        <v>9</v>
      </c>
      <c r="F35" s="127">
        <v>10</v>
      </c>
      <c r="G35" s="127">
        <v>36</v>
      </c>
      <c r="H35" s="127">
        <v>27</v>
      </c>
      <c r="I35" s="127"/>
      <c r="J35" s="127"/>
      <c r="K35" s="127"/>
      <c r="L35" s="127"/>
      <c r="M35" s="127"/>
      <c r="N35" s="127"/>
      <c r="O35" s="135"/>
      <c r="P35" s="135"/>
      <c r="Q35" s="312">
        <f>SUM(E35:P35)</f>
        <v>82</v>
      </c>
      <c r="R35" s="314">
        <v>7</v>
      </c>
      <c r="S35" s="241">
        <v>190</v>
      </c>
      <c r="T35" s="316">
        <f t="shared" ref="T35" si="19">SUM(S35-Q35)</f>
        <v>108</v>
      </c>
      <c r="U35" s="3"/>
      <c r="V35" s="74">
        <f>SUM(E35,F35)</f>
        <v>19</v>
      </c>
      <c r="W35" s="75">
        <f>SUM(G35,H35)</f>
        <v>63</v>
      </c>
      <c r="X35" s="76">
        <f>SUM(I35,J35)</f>
        <v>0</v>
      </c>
      <c r="Y35" s="75">
        <f>SUM(K35,L35,M35,)</f>
        <v>0</v>
      </c>
      <c r="Z35" s="77">
        <f>SUM(N35,O35,P35)</f>
        <v>0</v>
      </c>
      <c r="AK35" s="45" t="str">
        <f>IF(AK30=0, "", IF(MOD(AK30, $D$37) = 0, AK30/ $D$37, IF(INT(AK30 / $D$37) = 0, MOD(AK30, $D$37) &amp; " P", INT(AK30 / $D$37) &amp; " + " &amp; MOD(AK30, $D$37) &amp; " P")))</f>
        <v>1 + 7 P</v>
      </c>
    </row>
    <row r="36" spans="2:37" ht="72.599999999999994" customHeight="1" thickBot="1">
      <c r="B36" s="119"/>
      <c r="C36" s="140" t="s">
        <v>118</v>
      </c>
      <c r="D36" s="311"/>
      <c r="E36" s="123" t="str">
        <f>IF(E35=0, "", IF(MOD(E35, $D$35) = 0, E35/ $D$35, IF(INT(E35 / $D$35) = 0, MOD(E35, $D$35) &amp; " P", INT(E35 / $D$35) &amp; " + " &amp; MOD(E35, $D$35) &amp; " P")))</f>
        <v>9 P</v>
      </c>
      <c r="F36" s="123" t="str">
        <f t="shared" ref="F36:P36" si="20">IF(F35=0, "", IF(MOD(F35, $D$35) = 0, F35/ $D$35, IF(INT(F35 / $D$35) = 0, MOD(F35, $D$35) &amp; " P", INT(F35 / $D$35) &amp; " + " &amp; MOD(F35, $D$35) &amp; " P")))</f>
        <v>10 P</v>
      </c>
      <c r="G36" s="123" t="str">
        <f t="shared" si="20"/>
        <v>2 + 6 P</v>
      </c>
      <c r="H36" s="123" t="str">
        <f t="shared" si="20"/>
        <v>1 + 12 P</v>
      </c>
      <c r="I36" s="123" t="str">
        <f t="shared" si="20"/>
        <v/>
      </c>
      <c r="J36" s="123" t="str">
        <f t="shared" si="20"/>
        <v/>
      </c>
      <c r="K36" s="123" t="str">
        <f t="shared" si="20"/>
        <v/>
      </c>
      <c r="L36" s="123" t="str">
        <f t="shared" si="20"/>
        <v/>
      </c>
      <c r="M36" s="123" t="str">
        <f>IF(M35=0, "", IF(MOD(M35, $D$35) = 0, M35/ $D$35, IF(INT(M35 / $D$35) = 0, MOD(M35, $D$35) &amp; " P", INT(M35 / $D$35) &amp; " + " &amp; MOD(M35, $D$35) &amp; " P")))</f>
        <v/>
      </c>
      <c r="N36" s="123" t="str">
        <f>IF(N35=0, "", IF(MOD(N35, $D$35) = 0, N35/ $D$35, IF(INT(N35 / $D$35) = 0, MOD(N35, $D$35) &amp; " P", INT(N35 / $D$35) &amp; " + " &amp; MOD(N35, $D$35) &amp; " P")))</f>
        <v/>
      </c>
      <c r="O36" s="123" t="str">
        <f t="shared" si="20"/>
        <v/>
      </c>
      <c r="P36" s="123" t="str">
        <f t="shared" si="20"/>
        <v/>
      </c>
      <c r="Q36" s="313"/>
      <c r="R36" s="315"/>
      <c r="S36" s="242"/>
      <c r="T36" s="317"/>
      <c r="U36" s="3"/>
      <c r="V36" s="74"/>
      <c r="W36" s="79"/>
      <c r="X36" s="80"/>
      <c r="Y36" s="75"/>
      <c r="Z36" s="81"/>
    </row>
    <row r="37" spans="2:37" ht="72.599999999999994" customHeight="1" thickBot="1">
      <c r="B37" s="118">
        <v>12</v>
      </c>
      <c r="C37" s="142" t="s">
        <v>130</v>
      </c>
      <c r="D37" s="310">
        <v>27</v>
      </c>
      <c r="E37" s="120">
        <v>29</v>
      </c>
      <c r="F37" s="120">
        <v>37</v>
      </c>
      <c r="G37" s="120">
        <v>52</v>
      </c>
      <c r="H37" s="120">
        <v>74</v>
      </c>
      <c r="I37" s="120"/>
      <c r="J37" s="120"/>
      <c r="K37" s="120"/>
      <c r="L37" s="120"/>
      <c r="M37" s="120"/>
      <c r="N37" s="120"/>
      <c r="O37" s="120"/>
      <c r="P37" s="120"/>
      <c r="Q37" s="312">
        <f>SUM(E37:P37)</f>
        <v>192</v>
      </c>
      <c r="R37" s="314">
        <v>9</v>
      </c>
      <c r="S37" s="241">
        <v>440</v>
      </c>
      <c r="T37" s="316">
        <f t="shared" ref="T37" si="21">SUM(S37-Q37)</f>
        <v>248</v>
      </c>
      <c r="U37" s="3"/>
      <c r="V37" s="74">
        <f>SUM(E37,F37)</f>
        <v>66</v>
      </c>
      <c r="W37" s="75">
        <f>SUM(G37,H37)</f>
        <v>126</v>
      </c>
      <c r="X37" s="76">
        <f>SUM(I37,J37)</f>
        <v>0</v>
      </c>
      <c r="Y37" s="75">
        <f>SUM(K37,L37,M37,)</f>
        <v>0</v>
      </c>
      <c r="Z37" s="77">
        <f>SUM(N37,O37,P37)</f>
        <v>0</v>
      </c>
      <c r="AK37" s="45" t="str">
        <f>IF(AK32=0, "", IF(MOD(AK32, $D$37) = 0, AK32/ $D$37, IF(INT(AK32 / $D$37) = 0, MOD(AK32, $D$37) &amp; " P", INT(AK32 / $D$37) &amp; " + " &amp; MOD(AK32, $D$37) &amp; " P")))</f>
        <v>1 + 6 P</v>
      </c>
    </row>
    <row r="38" spans="2:37" ht="72.599999999999994" customHeight="1" thickBot="1">
      <c r="B38" s="119"/>
      <c r="C38" s="140" t="s">
        <v>131</v>
      </c>
      <c r="D38" s="311"/>
      <c r="E38" s="123" t="str">
        <f>IF(E37=0, "", IF(MOD(E37, $D$37) = 0, E37/ $D$37, IF(INT(E37 / $D$37) = 0, MOD(E37, $D$37) &amp; " P", INT(E37 / $D$37) &amp; " + " &amp; MOD(E37, $D$37) &amp; " P")))</f>
        <v>1 + 2 P</v>
      </c>
      <c r="F38" s="123" t="str">
        <f t="shared" ref="F38:P38" si="22">IF(F37=0, "", IF(MOD(F37, $D$37) = 0, F37/ $D$37, IF(INT(F37 / $D$37) = 0, MOD(F37, $D$37) &amp; " P", INT(F37 / $D$37) &amp; " + " &amp; MOD(F37, $D$37) &amp; " P")))</f>
        <v>1 + 10 P</v>
      </c>
      <c r="G38" s="123" t="str">
        <f t="shared" si="22"/>
        <v>1 + 25 P</v>
      </c>
      <c r="H38" s="123" t="str">
        <f t="shared" si="22"/>
        <v>2 + 20 P</v>
      </c>
      <c r="I38" s="123" t="str">
        <f t="shared" si="22"/>
        <v/>
      </c>
      <c r="J38" s="123" t="str">
        <f t="shared" si="22"/>
        <v/>
      </c>
      <c r="K38" s="123" t="str">
        <f t="shared" si="22"/>
        <v/>
      </c>
      <c r="L38" s="123" t="str">
        <f t="shared" si="22"/>
        <v/>
      </c>
      <c r="M38" s="123" t="str">
        <f t="shared" si="22"/>
        <v/>
      </c>
      <c r="N38" s="123" t="str">
        <f t="shared" si="22"/>
        <v/>
      </c>
      <c r="O38" s="123" t="str">
        <f t="shared" si="22"/>
        <v/>
      </c>
      <c r="P38" s="123" t="str">
        <f t="shared" si="22"/>
        <v/>
      </c>
      <c r="Q38" s="313"/>
      <c r="R38" s="315"/>
      <c r="S38" s="242"/>
      <c r="T38" s="317"/>
      <c r="U38" s="3"/>
      <c r="V38" s="74"/>
      <c r="W38" s="79"/>
      <c r="X38" s="80"/>
      <c r="Y38" s="75"/>
      <c r="Z38" s="81"/>
    </row>
    <row r="39" spans="2:37" ht="72.599999999999994" customHeight="1" thickBot="1">
      <c r="B39" s="118">
        <v>13</v>
      </c>
      <c r="C39" s="142" t="s">
        <v>65</v>
      </c>
      <c r="D39" s="310">
        <v>20</v>
      </c>
      <c r="E39" s="120">
        <v>14</v>
      </c>
      <c r="F39" s="120">
        <v>17</v>
      </c>
      <c r="G39" s="120">
        <v>115</v>
      </c>
      <c r="H39" s="120">
        <v>67</v>
      </c>
      <c r="I39" s="120"/>
      <c r="J39" s="120"/>
      <c r="K39" s="120"/>
      <c r="L39" s="120"/>
      <c r="M39" s="120"/>
      <c r="N39" s="120"/>
      <c r="O39" s="120"/>
      <c r="P39" s="120"/>
      <c r="Q39" s="312">
        <f>SUM(E39:P39)</f>
        <v>213</v>
      </c>
      <c r="R39" s="314">
        <v>12</v>
      </c>
      <c r="S39" s="241">
        <v>450</v>
      </c>
      <c r="T39" s="316">
        <f t="shared" ref="T39" si="23">SUM(S39-Q39)</f>
        <v>237</v>
      </c>
      <c r="U39" s="3"/>
      <c r="V39" s="74">
        <f>SUM(E39,F39)</f>
        <v>31</v>
      </c>
      <c r="W39" s="75">
        <f>SUM(G39,H39)</f>
        <v>182</v>
      </c>
      <c r="X39" s="76">
        <f>SUM(I39,J39)</f>
        <v>0</v>
      </c>
      <c r="Y39" s="75">
        <f>SUM(K39,L39,M39,)</f>
        <v>0</v>
      </c>
      <c r="Z39" s="77">
        <f>SUM(N39,O39,P39)</f>
        <v>0</v>
      </c>
      <c r="AK39" s="45" t="str">
        <f>IF(AK36=0, "", IF(MOD(AK36, $D$37) = 0, AK36/ $D$37, IF(INT(AK36 / $D$37) = 0, MOD(AK36, $D$37) &amp; " P", INT(AK36 / $D$37) &amp; " + " &amp; MOD(AK36, $D$37) &amp; " P")))</f>
        <v/>
      </c>
    </row>
    <row r="40" spans="2:37" ht="72.599999999999994" customHeight="1" thickBot="1">
      <c r="B40" s="119"/>
      <c r="C40" s="139" t="s">
        <v>115</v>
      </c>
      <c r="D40" s="311"/>
      <c r="E40" s="123" t="str">
        <f>IF(E39=0, "", IF(MOD(E39, $D$39) = 0, E39/ $D$39, IF(INT(E39 / $D$39) = 0, MOD(E39, $D$39) &amp; " P", INT(E39 / $D$39) &amp; " + " &amp; MOD(E39, $D$39) &amp; " P")))</f>
        <v>14 P</v>
      </c>
      <c r="F40" s="123" t="str">
        <f t="shared" ref="F40:P40" si="24">IF(F39=0, "", IF(MOD(F39, $D$39) = 0, F39/ $D$39, IF(INT(F39 / $D$39) = 0, MOD(F39, $D$39) &amp; " P", INT(F39 / $D$39) &amp; " + " &amp; MOD(F39, $D$39) &amp; " P")))</f>
        <v>17 P</v>
      </c>
      <c r="G40" s="123" t="str">
        <f t="shared" si="24"/>
        <v>5 + 15 P</v>
      </c>
      <c r="H40" s="123" t="str">
        <f t="shared" si="24"/>
        <v>3 + 7 P</v>
      </c>
      <c r="I40" s="123" t="str">
        <f t="shared" si="24"/>
        <v/>
      </c>
      <c r="J40" s="123" t="str">
        <f t="shared" si="24"/>
        <v/>
      </c>
      <c r="K40" s="123" t="str">
        <f t="shared" si="24"/>
        <v/>
      </c>
      <c r="L40" s="123" t="str">
        <f t="shared" si="24"/>
        <v/>
      </c>
      <c r="M40" s="123" t="str">
        <f t="shared" si="24"/>
        <v/>
      </c>
      <c r="N40" s="123" t="str">
        <f t="shared" si="24"/>
        <v/>
      </c>
      <c r="O40" s="123" t="str">
        <f t="shared" si="24"/>
        <v/>
      </c>
      <c r="P40" s="123" t="str">
        <f t="shared" si="24"/>
        <v/>
      </c>
      <c r="Q40" s="313"/>
      <c r="R40" s="315"/>
      <c r="S40" s="242"/>
      <c r="T40" s="317"/>
      <c r="U40" s="3"/>
      <c r="V40" s="74"/>
      <c r="W40" s="79"/>
      <c r="X40" s="80"/>
      <c r="Y40" s="75"/>
      <c r="Z40" s="81"/>
    </row>
    <row r="41" spans="2:37" ht="72.599999999999994" customHeight="1" thickBot="1">
      <c r="B41" s="118">
        <v>14</v>
      </c>
      <c r="C41" s="141" t="s">
        <v>66</v>
      </c>
      <c r="D41" s="310">
        <v>32</v>
      </c>
      <c r="E41" s="120">
        <v>7</v>
      </c>
      <c r="F41" s="120">
        <v>5</v>
      </c>
      <c r="G41" s="120">
        <v>55</v>
      </c>
      <c r="H41" s="120">
        <v>26</v>
      </c>
      <c r="I41" s="120"/>
      <c r="J41" s="120"/>
      <c r="K41" s="120"/>
      <c r="L41" s="120"/>
      <c r="M41" s="120"/>
      <c r="N41" s="120"/>
      <c r="O41" s="120"/>
      <c r="P41" s="120"/>
      <c r="Q41" s="312">
        <f>SUM(E41:P41)</f>
        <v>93</v>
      </c>
      <c r="R41" s="314">
        <v>5</v>
      </c>
      <c r="S41" s="241">
        <v>220</v>
      </c>
      <c r="T41" s="243">
        <f t="shared" ref="T41" si="25">SUM(S41-Q41)</f>
        <v>127</v>
      </c>
      <c r="U41" s="3"/>
      <c r="V41" s="74">
        <f>SUM(E41,F41)</f>
        <v>12</v>
      </c>
      <c r="W41" s="75">
        <f>SUM(G41,H41)</f>
        <v>81</v>
      </c>
      <c r="X41" s="76">
        <f>SUM(I41,J41)</f>
        <v>0</v>
      </c>
      <c r="Y41" s="75">
        <f>SUM(K41,L41,M41,)</f>
        <v>0</v>
      </c>
      <c r="Z41" s="77">
        <f>SUM(N41,O41,P41)</f>
        <v>0</v>
      </c>
      <c r="AK41" s="45" t="str">
        <f>IF(AK38=0, "", IF(MOD(AK38, $D$37) = 0, AK38/ $D$37, IF(INT(AK38 / $D$37) = 0, MOD(AK38, $D$37) &amp; " P", INT(AK38 / $D$37) &amp; " + " &amp; MOD(AK38, $D$37) &amp; " P")))</f>
        <v/>
      </c>
    </row>
    <row r="42" spans="2:37" ht="72.599999999999994" customHeight="1" thickBot="1">
      <c r="B42" s="119"/>
      <c r="C42" s="139" t="s">
        <v>116</v>
      </c>
      <c r="D42" s="311"/>
      <c r="E42" s="123" t="str">
        <f>IF(E41=0, "", IF(MOD(E41, $D$41) = 0, E41/ $D$41, IF(INT(E41 / $D$41) = 0, MOD(E41, $D$41) &amp; " P", INT(E41 / $D$41) &amp; " + " &amp; MOD(E41, $D$41) &amp; " P")))</f>
        <v>7 P</v>
      </c>
      <c r="F42" s="123" t="str">
        <f t="shared" ref="F42:P42" si="26">IF(F41=0, "", IF(MOD(F41, $D$41) = 0, F41/ $D$41, IF(INT(F41 / $D$41) = 0, MOD(F41, $D$41) &amp; " P", INT(F41 / $D$41) &amp; " + " &amp; MOD(F41, $D$41) &amp; " P")))</f>
        <v>5 P</v>
      </c>
      <c r="G42" s="123" t="str">
        <f t="shared" si="26"/>
        <v>1 + 23 P</v>
      </c>
      <c r="H42" s="123" t="str">
        <f t="shared" si="26"/>
        <v>26 P</v>
      </c>
      <c r="I42" s="123" t="str">
        <f t="shared" si="26"/>
        <v/>
      </c>
      <c r="J42" s="123" t="str">
        <f t="shared" si="26"/>
        <v/>
      </c>
      <c r="K42" s="123" t="str">
        <f t="shared" si="26"/>
        <v/>
      </c>
      <c r="L42" s="123" t="str">
        <f t="shared" si="26"/>
        <v/>
      </c>
      <c r="M42" s="123" t="str">
        <f t="shared" si="26"/>
        <v/>
      </c>
      <c r="N42" s="123" t="str">
        <f t="shared" si="26"/>
        <v/>
      </c>
      <c r="O42" s="123" t="str">
        <f t="shared" si="26"/>
        <v/>
      </c>
      <c r="P42" s="123" t="str">
        <f t="shared" si="26"/>
        <v/>
      </c>
      <c r="Q42" s="313"/>
      <c r="R42" s="315"/>
      <c r="S42" s="242"/>
      <c r="T42" s="244"/>
      <c r="U42" s="3"/>
      <c r="V42" s="74"/>
      <c r="W42" s="79"/>
      <c r="X42" s="80"/>
      <c r="Y42" s="75"/>
      <c r="Z42" s="81"/>
    </row>
    <row r="43" spans="2:37" ht="72.599999999999994" customHeight="1" thickBot="1">
      <c r="B43" s="118">
        <v>15</v>
      </c>
      <c r="C43" s="138" t="s">
        <v>105</v>
      </c>
      <c r="D43" s="310">
        <v>15</v>
      </c>
      <c r="E43" s="120">
        <v>5</v>
      </c>
      <c r="F43" s="120">
        <v>4</v>
      </c>
      <c r="G43" s="120">
        <v>18</v>
      </c>
      <c r="H43" s="120">
        <v>13</v>
      </c>
      <c r="I43" s="120"/>
      <c r="J43" s="120"/>
      <c r="K43" s="120"/>
      <c r="L43" s="120"/>
      <c r="M43" s="120"/>
      <c r="N43" s="120"/>
      <c r="O43" s="120"/>
      <c r="P43" s="120"/>
      <c r="Q43" s="312">
        <f>SUM(E43:P43)</f>
        <v>40</v>
      </c>
      <c r="R43" s="314">
        <v>5</v>
      </c>
      <c r="S43" s="241">
        <v>100</v>
      </c>
      <c r="T43" s="243">
        <f t="shared" ref="T43" si="27">SUM(S43-Q43)</f>
        <v>60</v>
      </c>
      <c r="U43" s="3"/>
      <c r="V43" s="74">
        <f>SUM(E43,F43)</f>
        <v>9</v>
      </c>
      <c r="W43" s="75">
        <f>SUM(G43,H43)</f>
        <v>31</v>
      </c>
      <c r="X43" s="76">
        <f>SUM(I43,J43)</f>
        <v>0</v>
      </c>
      <c r="Y43" s="75">
        <f>SUM(K43,L43,M43,)</f>
        <v>0</v>
      </c>
      <c r="Z43" s="77">
        <f>SUM(N43,O43,P43)</f>
        <v>0</v>
      </c>
      <c r="AK43" s="45" t="str">
        <f>IF(AK40=0, "", IF(MOD(AK40, $D$37) = 0, AK40/ $D$37, IF(INT(AK40 / $D$37) = 0, MOD(AK40, $D$37) &amp; " P", INT(AK40 / $D$37) &amp; " + " &amp; MOD(AK40, $D$37) &amp; " P")))</f>
        <v/>
      </c>
    </row>
    <row r="44" spans="2:37" ht="72.599999999999994" customHeight="1" thickBot="1">
      <c r="B44" s="119"/>
      <c r="C44" s="140" t="s">
        <v>117</v>
      </c>
      <c r="D44" s="311"/>
      <c r="E44" s="123" t="str">
        <f>IF(E43=0, "", IF(MOD(E43, $D$43) = 0, E43/ $D$43, IF(INT(E43 / $D$43) = 0, MOD(E43, $D$43) &amp; " P", INT(E43 / $D$43) &amp; " + " &amp; MOD(E43, $D$43) &amp; " P")))</f>
        <v>5 P</v>
      </c>
      <c r="F44" s="123" t="str">
        <f t="shared" ref="F44:P44" si="28">IF(F43=0, "", IF(MOD(F43, $D$43) = 0, F43/ $D$43, IF(INT(F43 / $D$43) = 0, MOD(F43, $D$43) &amp; " P", INT(F43 / $D$43) &amp; " + " &amp; MOD(F43, $D$43) &amp; " P")))</f>
        <v>4 P</v>
      </c>
      <c r="G44" s="123" t="str">
        <f t="shared" si="28"/>
        <v>1 + 3 P</v>
      </c>
      <c r="H44" s="123" t="str">
        <f t="shared" si="28"/>
        <v>13 P</v>
      </c>
      <c r="I44" s="123" t="str">
        <f t="shared" si="28"/>
        <v/>
      </c>
      <c r="J44" s="123" t="str">
        <f t="shared" si="28"/>
        <v/>
      </c>
      <c r="K44" s="123" t="str">
        <f t="shared" si="28"/>
        <v/>
      </c>
      <c r="L44" s="123" t="str">
        <f t="shared" si="28"/>
        <v/>
      </c>
      <c r="M44" s="123" t="str">
        <f t="shared" si="28"/>
        <v/>
      </c>
      <c r="N44" s="123" t="str">
        <f t="shared" si="28"/>
        <v/>
      </c>
      <c r="O44" s="123" t="str">
        <f t="shared" si="28"/>
        <v/>
      </c>
      <c r="P44" s="123" t="str">
        <f t="shared" si="28"/>
        <v/>
      </c>
      <c r="Q44" s="313"/>
      <c r="R44" s="315"/>
      <c r="S44" s="242"/>
      <c r="T44" s="244"/>
      <c r="U44" s="3"/>
      <c r="V44" s="74"/>
      <c r="W44" s="79"/>
      <c r="X44" s="80"/>
      <c r="Y44" s="75"/>
      <c r="Z44" s="81"/>
    </row>
    <row r="45" spans="2:37" ht="73.5" customHeight="1" thickBot="1">
      <c r="B45" s="221" t="s">
        <v>81</v>
      </c>
      <c r="C45" s="222"/>
      <c r="D45" s="223"/>
      <c r="E45" s="65">
        <v>-22</v>
      </c>
      <c r="F45" s="65">
        <v>-21</v>
      </c>
      <c r="G45" s="65">
        <v>-46</v>
      </c>
      <c r="H45" s="65">
        <v>-35</v>
      </c>
      <c r="I45" s="65"/>
      <c r="J45" s="65"/>
      <c r="K45" s="65"/>
      <c r="L45" s="65"/>
      <c r="M45" s="65"/>
      <c r="N45" s="65"/>
      <c r="O45" s="65"/>
      <c r="P45" s="65"/>
      <c r="Q45" s="66" t="s">
        <v>87</v>
      </c>
      <c r="R45" s="67">
        <f>SUM(R10:R44)</f>
        <v>124</v>
      </c>
      <c r="S45" s="63"/>
      <c r="T45" s="105"/>
      <c r="U45" s="3"/>
      <c r="V45" s="82"/>
      <c r="W45" s="83"/>
      <c r="X45" s="84"/>
      <c r="Y45" s="85"/>
      <c r="Z45" s="84"/>
    </row>
    <row r="46" spans="2:37" ht="13.2" customHeight="1" thickBot="1">
      <c r="B46" s="33"/>
      <c r="C46" s="33"/>
      <c r="D46" s="33"/>
      <c r="E46" s="32"/>
      <c r="F46" s="32"/>
      <c r="G46" s="32"/>
      <c r="H46" s="32"/>
      <c r="I46" s="32"/>
      <c r="J46" s="34"/>
      <c r="K46" s="35"/>
      <c r="L46" s="61"/>
      <c r="M46" s="62"/>
      <c r="O46" s="52"/>
      <c r="P46" s="52"/>
      <c r="Q46" s="52"/>
      <c r="R46" s="52"/>
      <c r="T46" s="31"/>
      <c r="U46" s="3"/>
      <c r="V46" s="3"/>
      <c r="W46" s="3"/>
      <c r="X46" s="3"/>
      <c r="Y46" s="3"/>
    </row>
    <row r="47" spans="2:37" ht="105" hidden="1" customHeight="1" thickBot="1"/>
    <row r="48" spans="2:37" ht="37.5" hidden="1" customHeight="1" thickBot="1"/>
    <row r="49" spans="2:20" ht="48.75" hidden="1" customHeight="1" thickBot="1"/>
    <row r="50" spans="2:20" s="3" customFormat="1" ht="64.95" customHeight="1" thickBot="1">
      <c r="B50" s="224" t="s">
        <v>49</v>
      </c>
      <c r="C50" s="225"/>
      <c r="D50" s="224" t="s">
        <v>53</v>
      </c>
      <c r="E50" s="225"/>
      <c r="F50" s="224" t="s">
        <v>54</v>
      </c>
      <c r="G50" s="225"/>
      <c r="H50" s="224" t="s">
        <v>71</v>
      </c>
      <c r="I50" s="225"/>
      <c r="M50" s="227" t="s">
        <v>88</v>
      </c>
      <c r="N50" s="227"/>
      <c r="O50" s="227"/>
      <c r="P50" s="227"/>
      <c r="Q50" s="308">
        <f>SUM(R45)</f>
        <v>124</v>
      </c>
      <c r="R50" s="230" t="s">
        <v>89</v>
      </c>
      <c r="T50" s="31"/>
    </row>
    <row r="51" spans="2:20" s="3" customFormat="1" ht="58.95" customHeight="1">
      <c r="B51" s="231" t="s">
        <v>72</v>
      </c>
      <c r="C51" s="232"/>
      <c r="D51" s="233"/>
      <c r="E51" s="234"/>
      <c r="F51" s="233"/>
      <c r="G51" s="234"/>
      <c r="H51" s="233"/>
      <c r="I51" s="234"/>
      <c r="M51" s="227"/>
      <c r="N51" s="227"/>
      <c r="O51" s="227"/>
      <c r="P51" s="227"/>
      <c r="Q51" s="309"/>
      <c r="R51" s="230"/>
      <c r="T51" s="31"/>
    </row>
    <row r="52" spans="2:20" s="3" customFormat="1" ht="58.95" customHeight="1" thickBot="1">
      <c r="B52" s="212" t="s">
        <v>74</v>
      </c>
      <c r="C52" s="213"/>
      <c r="D52" s="214"/>
      <c r="E52" s="215"/>
      <c r="F52" s="214"/>
      <c r="G52" s="215"/>
      <c r="H52" s="214"/>
      <c r="I52" s="215"/>
      <c r="M52" s="52"/>
      <c r="N52" s="306" t="s">
        <v>73</v>
      </c>
      <c r="O52" s="306"/>
      <c r="P52" s="306"/>
      <c r="Q52" s="306"/>
      <c r="R52" s="306"/>
      <c r="T52" s="31"/>
    </row>
    <row r="53" spans="2:20" s="3" customFormat="1" ht="58.95" customHeight="1" thickBot="1">
      <c r="B53" s="216" t="s">
        <v>76</v>
      </c>
      <c r="C53" s="217"/>
      <c r="D53" s="218"/>
      <c r="E53" s="219"/>
      <c r="F53" s="218"/>
      <c r="G53" s="219"/>
      <c r="H53" s="218"/>
      <c r="I53" s="219"/>
      <c r="K53" s="41" t="s">
        <v>77</v>
      </c>
      <c r="L53" s="68"/>
      <c r="M53" s="89"/>
      <c r="N53" s="90"/>
      <c r="O53" s="39" t="s">
        <v>75</v>
      </c>
      <c r="P53" s="39" t="s">
        <v>75</v>
      </c>
      <c r="Q53" s="39" t="s">
        <v>75</v>
      </c>
      <c r="R53" s="39" t="s">
        <v>59</v>
      </c>
      <c r="T53" s="31"/>
    </row>
    <row r="54" spans="2:20" s="3" customFormat="1" ht="64.2" customHeight="1" thickBot="1">
      <c r="D54" s="52"/>
      <c r="E54" s="41"/>
      <c r="F54" s="41"/>
      <c r="G54" s="69"/>
      <c r="H54" s="69"/>
      <c r="I54" s="41"/>
      <c r="K54" s="41"/>
      <c r="N54" s="41"/>
      <c r="O54" s="39"/>
      <c r="P54" s="39"/>
      <c r="Q54" s="39"/>
      <c r="R54" s="39"/>
      <c r="T54" s="31"/>
    </row>
  </sheetData>
  <mergeCells count="124">
    <mergeCell ref="L4:M4"/>
    <mergeCell ref="B10:D11"/>
    <mergeCell ref="E10:R11"/>
    <mergeCell ref="W11:AA11"/>
    <mergeCell ref="B12:C14"/>
    <mergeCell ref="D12:D14"/>
    <mergeCell ref="E12:F12"/>
    <mergeCell ref="G12:H12"/>
    <mergeCell ref="I12:J12"/>
    <mergeCell ref="K12:M12"/>
    <mergeCell ref="X12:X13"/>
    <mergeCell ref="Y12:Y13"/>
    <mergeCell ref="Z12:Z13"/>
    <mergeCell ref="E13:F13"/>
    <mergeCell ref="G13:H13"/>
    <mergeCell ref="I13:J13"/>
    <mergeCell ref="K13:M13"/>
    <mergeCell ref="N13:O13"/>
    <mergeCell ref="N12:O12"/>
    <mergeCell ref="Q12:R13"/>
    <mergeCell ref="S12:S14"/>
    <mergeCell ref="T12:T14"/>
    <mergeCell ref="V12:V13"/>
    <mergeCell ref="W12:W13"/>
    <mergeCell ref="B17:B18"/>
    <mergeCell ref="D17:D18"/>
    <mergeCell ref="Q17:Q18"/>
    <mergeCell ref="R17:R18"/>
    <mergeCell ref="S17:S18"/>
    <mergeCell ref="T17:T18"/>
    <mergeCell ref="B15:B16"/>
    <mergeCell ref="D15:D16"/>
    <mergeCell ref="Q15:Q16"/>
    <mergeCell ref="R15:R16"/>
    <mergeCell ref="S15:S16"/>
    <mergeCell ref="T15:T16"/>
    <mergeCell ref="B21:B22"/>
    <mergeCell ref="D21:D22"/>
    <mergeCell ref="Q21:Q22"/>
    <mergeCell ref="R21:R22"/>
    <mergeCell ref="S21:S22"/>
    <mergeCell ref="T21:T22"/>
    <mergeCell ref="B19:B20"/>
    <mergeCell ref="D19:D20"/>
    <mergeCell ref="Q19:Q20"/>
    <mergeCell ref="R19:R20"/>
    <mergeCell ref="S19:S20"/>
    <mergeCell ref="T19:T20"/>
    <mergeCell ref="D23:D24"/>
    <mergeCell ref="Q23:Q24"/>
    <mergeCell ref="R23:R24"/>
    <mergeCell ref="S23:S24"/>
    <mergeCell ref="T23:T24"/>
    <mergeCell ref="D25:D26"/>
    <mergeCell ref="Q25:Q26"/>
    <mergeCell ref="R25:R26"/>
    <mergeCell ref="S25:S26"/>
    <mergeCell ref="T25:T26"/>
    <mergeCell ref="D27:D28"/>
    <mergeCell ref="Q27:Q28"/>
    <mergeCell ref="R27:R28"/>
    <mergeCell ref="S27:S28"/>
    <mergeCell ref="T27:T28"/>
    <mergeCell ref="D29:D30"/>
    <mergeCell ref="Q29:Q30"/>
    <mergeCell ref="R29:R30"/>
    <mergeCell ref="S29:S30"/>
    <mergeCell ref="T29:T30"/>
    <mergeCell ref="D31:D32"/>
    <mergeCell ref="Q31:Q32"/>
    <mergeCell ref="R31:R32"/>
    <mergeCell ref="S31:S32"/>
    <mergeCell ref="T31:T32"/>
    <mergeCell ref="D33:D34"/>
    <mergeCell ref="Q33:Q34"/>
    <mergeCell ref="R33:R34"/>
    <mergeCell ref="S33:S34"/>
    <mergeCell ref="T33:T34"/>
    <mergeCell ref="D35:D36"/>
    <mergeCell ref="Q35:Q36"/>
    <mergeCell ref="R35:R36"/>
    <mergeCell ref="S35:S36"/>
    <mergeCell ref="T35:T36"/>
    <mergeCell ref="D37:D38"/>
    <mergeCell ref="Q37:Q38"/>
    <mergeCell ref="R37:R38"/>
    <mergeCell ref="S37:S38"/>
    <mergeCell ref="T37:T38"/>
    <mergeCell ref="D43:D44"/>
    <mergeCell ref="Q43:Q44"/>
    <mergeCell ref="R43:R44"/>
    <mergeCell ref="S43:S44"/>
    <mergeCell ref="T43:T44"/>
    <mergeCell ref="B45:D45"/>
    <mergeCell ref="D39:D40"/>
    <mergeCell ref="Q39:Q40"/>
    <mergeCell ref="R39:R40"/>
    <mergeCell ref="S39:S40"/>
    <mergeCell ref="T39:T40"/>
    <mergeCell ref="D41:D42"/>
    <mergeCell ref="Q41:Q42"/>
    <mergeCell ref="R41:R42"/>
    <mergeCell ref="S41:S42"/>
    <mergeCell ref="T41:T42"/>
    <mergeCell ref="B53:C53"/>
    <mergeCell ref="D53:E53"/>
    <mergeCell ref="F53:G53"/>
    <mergeCell ref="H53:I53"/>
    <mergeCell ref="R50:R51"/>
    <mergeCell ref="B51:C51"/>
    <mergeCell ref="D51:E51"/>
    <mergeCell ref="F51:G51"/>
    <mergeCell ref="H51:I51"/>
    <mergeCell ref="B52:C52"/>
    <mergeCell ref="D52:E52"/>
    <mergeCell ref="F52:G52"/>
    <mergeCell ref="H52:I52"/>
    <mergeCell ref="N52:R52"/>
    <mergeCell ref="B50:C50"/>
    <mergeCell ref="D50:E50"/>
    <mergeCell ref="F50:G50"/>
    <mergeCell ref="H50:I50"/>
    <mergeCell ref="M50:P51"/>
    <mergeCell ref="Q50:Q51"/>
  </mergeCells>
  <printOptions horizontalCentered="1"/>
  <pageMargins left="0" right="0" top="0.15748031496062992" bottom="0" header="0" footer="0"/>
  <pageSetup paperSize="9" scale="1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3011-5F30-4B22-86C3-114347F44C10}">
  <dimension ref="B4:AK54"/>
  <sheetViews>
    <sheetView topLeftCell="A3" zoomScale="20" zoomScaleNormal="20" zoomScaleSheetLayoutView="20" workbookViewId="0">
      <selection activeCell="B10" sqref="B10:D11"/>
    </sheetView>
  </sheetViews>
  <sheetFormatPr defaultColWidth="5.6640625" defaultRowHeight="15" customHeight="1"/>
  <cols>
    <col min="1" max="1" width="5.6640625" style="3" customWidth="1"/>
    <col min="2" max="2" width="22.5546875" style="3" customWidth="1"/>
    <col min="3" max="3" width="174.88671875" style="3" customWidth="1"/>
    <col min="4" max="4" width="28.5546875" style="3" customWidth="1"/>
    <col min="5" max="8" width="34.6640625" style="3" hidden="1" customWidth="1"/>
    <col min="9" max="15" width="47.88671875" style="3" customWidth="1"/>
    <col min="16" max="16" width="47.88671875" style="3" hidden="1" customWidth="1"/>
    <col min="17" max="17" width="47.88671875" style="3" customWidth="1"/>
    <col min="18" max="18" width="47.88671875" style="31" customWidth="1"/>
    <col min="19" max="19" width="27.44140625" style="3" customWidth="1"/>
    <col min="20" max="20" width="27.44140625" style="103" customWidth="1"/>
    <col min="21" max="21" width="9.44140625" style="52" customWidth="1"/>
    <col min="22" max="25" width="35.88671875" style="52" customWidth="1"/>
    <col min="26" max="26" width="35.88671875" style="3" customWidth="1"/>
    <col min="27" max="36" width="5.6640625" style="3"/>
    <col min="37" max="37" width="10.109375" style="3" bestFit="1" customWidth="1"/>
    <col min="38" max="16384" width="5.6640625" style="3"/>
  </cols>
  <sheetData>
    <row r="4" spans="2:37" ht="31.95" customHeight="1">
      <c r="B4" s="27"/>
      <c r="C4" s="26"/>
      <c r="D4" s="26"/>
      <c r="E4" s="26"/>
      <c r="F4" s="26"/>
      <c r="G4" s="26"/>
      <c r="H4" s="26"/>
      <c r="I4" s="28"/>
      <c r="J4" s="28"/>
      <c r="K4" s="38"/>
      <c r="L4" s="306"/>
      <c r="M4" s="306"/>
      <c r="N4" s="42"/>
      <c r="O4" s="42"/>
      <c r="P4" s="42"/>
      <c r="Q4" s="33"/>
    </row>
    <row r="5" spans="2:37" ht="15" customHeight="1">
      <c r="K5" s="38"/>
      <c r="L5" s="38"/>
      <c r="M5" s="38"/>
    </row>
    <row r="6" spans="2:37" ht="15" customHeight="1">
      <c r="K6" s="38"/>
      <c r="L6" s="38"/>
      <c r="M6" s="38"/>
    </row>
    <row r="7" spans="2:37" ht="15" customHeight="1">
      <c r="K7" s="38"/>
      <c r="L7" s="38"/>
      <c r="M7" s="38"/>
    </row>
    <row r="9" spans="2:37" ht="15" customHeight="1" thickBot="1"/>
    <row r="10" spans="2:37" ht="71.400000000000006" customHeight="1" thickBot="1">
      <c r="B10" s="325" t="s">
        <v>135</v>
      </c>
      <c r="C10" s="325"/>
      <c r="D10" s="325"/>
      <c r="E10" s="327" t="s">
        <v>136</v>
      </c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9"/>
      <c r="U10" s="3"/>
      <c r="Z10" s="52"/>
      <c r="AA10" s="30"/>
    </row>
    <row r="11" spans="2:37" ht="3" hidden="1" customHeight="1" thickBot="1">
      <c r="B11" s="326"/>
      <c r="C11" s="326"/>
      <c r="D11" s="326"/>
      <c r="E11" s="330"/>
      <c r="F11" s="331"/>
      <c r="G11" s="331"/>
      <c r="H11" s="331"/>
      <c r="I11" s="331"/>
      <c r="J11" s="331"/>
      <c r="K11" s="331"/>
      <c r="L11" s="331"/>
      <c r="M11" s="331"/>
      <c r="N11" s="331"/>
      <c r="O11" s="331"/>
      <c r="P11" s="331"/>
      <c r="Q11" s="331"/>
      <c r="R11" s="332"/>
      <c r="S11" s="53"/>
      <c r="T11" s="104"/>
      <c r="U11" s="29"/>
      <c r="W11" s="252"/>
      <c r="X11" s="253"/>
      <c r="Y11" s="253"/>
      <c r="Z11" s="253"/>
      <c r="AA11" s="254"/>
    </row>
    <row r="12" spans="2:37" ht="72.75" customHeight="1" thickBot="1">
      <c r="B12" s="333" t="s">
        <v>90</v>
      </c>
      <c r="C12" s="334"/>
      <c r="D12" s="261" t="s">
        <v>39</v>
      </c>
      <c r="E12" s="339" t="s">
        <v>98</v>
      </c>
      <c r="F12" s="340"/>
      <c r="G12" s="341" t="s">
        <v>99</v>
      </c>
      <c r="H12" s="342"/>
      <c r="I12" s="343" t="s">
        <v>100</v>
      </c>
      <c r="J12" s="344"/>
      <c r="K12" s="345" t="s">
        <v>101</v>
      </c>
      <c r="L12" s="346"/>
      <c r="M12" s="347"/>
      <c r="N12" s="354" t="s">
        <v>102</v>
      </c>
      <c r="O12" s="355"/>
      <c r="P12" s="115"/>
      <c r="Q12" s="356" t="s">
        <v>68</v>
      </c>
      <c r="R12" s="357"/>
      <c r="S12" s="360" t="s">
        <v>78</v>
      </c>
      <c r="T12" s="363" t="s">
        <v>79</v>
      </c>
      <c r="U12" s="3"/>
      <c r="V12" s="366" t="s">
        <v>82</v>
      </c>
      <c r="W12" s="350" t="s">
        <v>83</v>
      </c>
      <c r="X12" s="348" t="s">
        <v>85</v>
      </c>
      <c r="Y12" s="350" t="s">
        <v>84</v>
      </c>
      <c r="Z12" s="352" t="s">
        <v>86</v>
      </c>
    </row>
    <row r="13" spans="2:37" ht="72.75" customHeight="1" thickBot="1">
      <c r="B13" s="335"/>
      <c r="C13" s="336"/>
      <c r="D13" s="262"/>
      <c r="E13" s="339" t="s">
        <v>93</v>
      </c>
      <c r="F13" s="340"/>
      <c r="G13" s="341" t="s">
        <v>94</v>
      </c>
      <c r="H13" s="342"/>
      <c r="I13" s="343" t="s">
        <v>95</v>
      </c>
      <c r="J13" s="344"/>
      <c r="K13" s="345" t="s">
        <v>96</v>
      </c>
      <c r="L13" s="346"/>
      <c r="M13" s="347"/>
      <c r="N13" s="354" t="s">
        <v>97</v>
      </c>
      <c r="O13" s="355"/>
      <c r="P13" s="115"/>
      <c r="Q13" s="358"/>
      <c r="R13" s="359"/>
      <c r="S13" s="361"/>
      <c r="T13" s="364"/>
      <c r="U13" s="3"/>
      <c r="V13" s="367"/>
      <c r="W13" s="351"/>
      <c r="X13" s="349"/>
      <c r="Y13" s="351"/>
      <c r="Z13" s="353"/>
    </row>
    <row r="14" spans="2:37" ht="129" customHeight="1" thickBot="1">
      <c r="B14" s="337"/>
      <c r="C14" s="338"/>
      <c r="D14" s="263"/>
      <c r="E14" s="106" t="s">
        <v>0</v>
      </c>
      <c r="F14" s="107" t="s">
        <v>69</v>
      </c>
      <c r="G14" s="108" t="s">
        <v>0</v>
      </c>
      <c r="H14" s="109" t="s">
        <v>69</v>
      </c>
      <c r="I14" s="110" t="s">
        <v>0</v>
      </c>
      <c r="J14" s="111" t="s">
        <v>69</v>
      </c>
      <c r="K14" s="112" t="s">
        <v>0</v>
      </c>
      <c r="L14" s="113" t="s">
        <v>69</v>
      </c>
      <c r="M14" s="112" t="s">
        <v>25</v>
      </c>
      <c r="N14" s="114" t="s">
        <v>0</v>
      </c>
      <c r="O14" s="114" t="s">
        <v>1</v>
      </c>
      <c r="P14" s="114" t="s">
        <v>25</v>
      </c>
      <c r="Q14" s="36" t="s">
        <v>80</v>
      </c>
      <c r="R14" s="37" t="s">
        <v>70</v>
      </c>
      <c r="S14" s="362"/>
      <c r="T14" s="365"/>
      <c r="U14" s="3"/>
      <c r="V14" s="70"/>
      <c r="W14" s="71"/>
      <c r="X14" s="72"/>
      <c r="Y14" s="71"/>
      <c r="Z14" s="73"/>
      <c r="AK14" s="44">
        <v>32</v>
      </c>
    </row>
    <row r="15" spans="2:37" ht="72.599999999999994" customHeight="1" thickBot="1">
      <c r="B15" s="321">
        <v>1</v>
      </c>
      <c r="C15" s="136" t="s">
        <v>103</v>
      </c>
      <c r="D15" s="372">
        <v>36</v>
      </c>
      <c r="E15" s="91"/>
      <c r="F15" s="92"/>
      <c r="G15" s="92"/>
      <c r="H15" s="92"/>
      <c r="I15" s="121">
        <v>18</v>
      </c>
      <c r="J15" s="121">
        <v>18</v>
      </c>
      <c r="K15" s="121">
        <v>4</v>
      </c>
      <c r="L15" s="121">
        <v>35</v>
      </c>
      <c r="M15" s="121">
        <v>53</v>
      </c>
      <c r="N15" s="121">
        <v>22</v>
      </c>
      <c r="O15" s="122">
        <v>18</v>
      </c>
      <c r="P15" s="93"/>
      <c r="Q15" s="312">
        <f>SUM(E15:P15)</f>
        <v>168</v>
      </c>
      <c r="R15" s="314">
        <v>8</v>
      </c>
      <c r="S15" s="241">
        <v>350</v>
      </c>
      <c r="T15" s="243">
        <f>SUM(S15-Q15)</f>
        <v>182</v>
      </c>
      <c r="U15" s="3"/>
      <c r="V15" s="74">
        <f>SUM(E15,F15)</f>
        <v>0</v>
      </c>
      <c r="W15" s="75">
        <f>SUM(G15,H15)</f>
        <v>0</v>
      </c>
      <c r="X15" s="76">
        <f>SUM(I15,J15)</f>
        <v>36</v>
      </c>
      <c r="Y15" s="75">
        <f>SUM(K15,L15,M15,)</f>
        <v>92</v>
      </c>
      <c r="Z15" s="77">
        <f>SUM(N15,O15,P15)</f>
        <v>40</v>
      </c>
      <c r="AK15" s="45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72.599999999999994" customHeight="1" thickBot="1">
      <c r="B16" s="322"/>
      <c r="C16" s="137" t="s">
        <v>106</v>
      </c>
      <c r="D16" s="373"/>
      <c r="E16" s="94" t="str">
        <f t="shared" ref="E16:P16" si="1">IF(E15=0, "", IF(MOD(E15, $D$15) = 0, E15 / $D$15, IF(INT(E15 / $D$15) = 0, MOD(E15, $D$15) &amp; " P", INT(E15 / $D$15) &amp; " + " &amp; MOD(E15, $D$15) &amp; " P")))</f>
        <v/>
      </c>
      <c r="F16" s="94" t="str">
        <f t="shared" si="1"/>
        <v/>
      </c>
      <c r="G16" s="94" t="str">
        <f t="shared" si="1"/>
        <v/>
      </c>
      <c r="H16" s="94" t="str">
        <f t="shared" si="1"/>
        <v/>
      </c>
      <c r="I16" s="123" t="str">
        <f t="shared" si="1"/>
        <v>18 P</v>
      </c>
      <c r="J16" s="123" t="str">
        <f t="shared" si="1"/>
        <v>18 P</v>
      </c>
      <c r="K16" s="123" t="str">
        <f t="shared" si="1"/>
        <v>4 P</v>
      </c>
      <c r="L16" s="123" t="str">
        <f t="shared" si="1"/>
        <v>35 P</v>
      </c>
      <c r="M16" s="123" t="str">
        <f t="shared" si="1"/>
        <v>1 + 17 P</v>
      </c>
      <c r="N16" s="123" t="str">
        <f t="shared" si="1"/>
        <v>22 P</v>
      </c>
      <c r="O16" s="123" t="str">
        <f t="shared" si="1"/>
        <v>18 P</v>
      </c>
      <c r="P16" s="94" t="str">
        <f t="shared" si="1"/>
        <v/>
      </c>
      <c r="Q16" s="313"/>
      <c r="R16" s="315"/>
      <c r="S16" s="242"/>
      <c r="T16" s="244"/>
      <c r="U16" s="3"/>
      <c r="V16" s="78"/>
      <c r="W16" s="79"/>
      <c r="X16" s="80"/>
      <c r="Y16" s="75"/>
      <c r="Z16" s="81"/>
      <c r="AK16" s="49">
        <v>129</v>
      </c>
    </row>
    <row r="17" spans="2:37" ht="72.599999999999994" customHeight="1" thickBot="1">
      <c r="B17" s="321">
        <v>2</v>
      </c>
      <c r="C17" s="138" t="s">
        <v>61</v>
      </c>
      <c r="D17" s="370">
        <v>32</v>
      </c>
      <c r="E17" s="91"/>
      <c r="F17" s="92"/>
      <c r="G17" s="92"/>
      <c r="H17" s="92"/>
      <c r="I17" s="124">
        <v>67</v>
      </c>
      <c r="J17" s="124">
        <v>53</v>
      </c>
      <c r="K17" s="124">
        <v>5</v>
      </c>
      <c r="L17" s="121">
        <v>104</v>
      </c>
      <c r="M17" s="121">
        <v>180</v>
      </c>
      <c r="N17" s="121">
        <v>23</v>
      </c>
      <c r="O17" s="122">
        <v>23</v>
      </c>
      <c r="P17" s="93"/>
      <c r="Q17" s="312">
        <f>SUM(E17:P17)</f>
        <v>455</v>
      </c>
      <c r="R17" s="314">
        <v>18</v>
      </c>
      <c r="S17" s="241">
        <v>790</v>
      </c>
      <c r="T17" s="243">
        <f>SUM(S17-Q17)</f>
        <v>335</v>
      </c>
      <c r="U17" s="3"/>
      <c r="V17" s="74">
        <f>SUM(E17,F17)</f>
        <v>0</v>
      </c>
      <c r="W17" s="79">
        <f>SUM(G17,H17)</f>
        <v>0</v>
      </c>
      <c r="X17" s="80">
        <f>SUM(I17,J17)</f>
        <v>120</v>
      </c>
      <c r="Y17" s="75">
        <f>SUM(K17,L17,M17,)</f>
        <v>289</v>
      </c>
      <c r="Z17" s="77">
        <f>SUM(N17,O17,P17)</f>
        <v>46</v>
      </c>
      <c r="AK17" s="50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72.599999999999994" customHeight="1" thickBot="1">
      <c r="B18" s="322"/>
      <c r="C18" s="139" t="s">
        <v>110</v>
      </c>
      <c r="D18" s="371"/>
      <c r="E18" s="94" t="str">
        <f t="shared" ref="E18:P18" si="3">IF(E17=0, "", IF(MOD(E17, $D$17) = 0, E17 / $D$17, IF(INT(E17 / $D$17) = 0, MOD(E17, $D$17) &amp; " P", INT(E17 / $D$17) &amp; " + " &amp; MOD(E17, $D$17) &amp; " P")))</f>
        <v/>
      </c>
      <c r="F18" s="94" t="str">
        <f t="shared" si="3"/>
        <v/>
      </c>
      <c r="G18" s="94" t="str">
        <f t="shared" si="3"/>
        <v/>
      </c>
      <c r="H18" s="94" t="str">
        <f t="shared" si="3"/>
        <v/>
      </c>
      <c r="I18" s="123" t="str">
        <f t="shared" si="3"/>
        <v>2 + 3 P</v>
      </c>
      <c r="J18" s="123" t="str">
        <f>IF(J17=0, "", IF(MOD(J17, $D$17) = 0, J17 / $D$17, IF(INT(J17 / $D$17) = 0, MOD(J17, $D$17) &amp; " P", INT(J17 / $D$17) &amp; " + " &amp; MOD(J17, $D$17) &amp; " P")))</f>
        <v>1 + 21 P</v>
      </c>
      <c r="K18" s="123" t="str">
        <f t="shared" si="3"/>
        <v>5 P</v>
      </c>
      <c r="L18" s="123" t="str">
        <f t="shared" si="3"/>
        <v>3 + 8 P</v>
      </c>
      <c r="M18" s="123" t="str">
        <f t="shared" si="3"/>
        <v>5 + 20 P</v>
      </c>
      <c r="N18" s="123" t="str">
        <f t="shared" si="3"/>
        <v>23 P</v>
      </c>
      <c r="O18" s="123" t="str">
        <f t="shared" si="3"/>
        <v>23 P</v>
      </c>
      <c r="P18" s="94" t="str">
        <f t="shared" si="3"/>
        <v/>
      </c>
      <c r="Q18" s="313"/>
      <c r="R18" s="315"/>
      <c r="S18" s="242"/>
      <c r="T18" s="244"/>
      <c r="U18" s="3"/>
      <c r="V18" s="78"/>
      <c r="W18" s="79"/>
      <c r="X18" s="80"/>
      <c r="Y18" s="75"/>
      <c r="Z18" s="81"/>
      <c r="AK18" s="51">
        <v>54</v>
      </c>
    </row>
    <row r="19" spans="2:37" ht="72.599999999999994" customHeight="1" thickBot="1">
      <c r="B19" s="321">
        <v>3</v>
      </c>
      <c r="C19" s="138" t="s">
        <v>126</v>
      </c>
      <c r="D19" s="370">
        <v>36</v>
      </c>
      <c r="E19" s="95"/>
      <c r="F19" s="96"/>
      <c r="G19" s="96"/>
      <c r="H19" s="96"/>
      <c r="I19" s="127">
        <v>6</v>
      </c>
      <c r="J19" s="127">
        <v>5</v>
      </c>
      <c r="K19" s="127">
        <v>2</v>
      </c>
      <c r="L19" s="126">
        <v>26</v>
      </c>
      <c r="M19" s="126">
        <v>65</v>
      </c>
      <c r="N19" s="126">
        <v>7</v>
      </c>
      <c r="O19" s="128">
        <v>6</v>
      </c>
      <c r="P19" s="98"/>
      <c r="Q19" s="312">
        <f>SUM(E19:P19)</f>
        <v>117</v>
      </c>
      <c r="R19" s="314">
        <v>8</v>
      </c>
      <c r="S19" s="241">
        <v>240</v>
      </c>
      <c r="T19" s="243">
        <f>SUM(S19-Q19)</f>
        <v>123</v>
      </c>
      <c r="U19" s="3"/>
      <c r="V19" s="78">
        <f>SUM(E19,F19)</f>
        <v>0</v>
      </c>
      <c r="W19" s="79">
        <f>SUM(G19,H19)</f>
        <v>0</v>
      </c>
      <c r="X19" s="80">
        <f>SUM(I19,J19)</f>
        <v>11</v>
      </c>
      <c r="Y19" s="75">
        <f>SUM(K19,L19,M19,)</f>
        <v>93</v>
      </c>
      <c r="Z19" s="77">
        <f>SUM(N19,O19,P19)</f>
        <v>13</v>
      </c>
      <c r="AK19" s="50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72" customHeight="1" thickBot="1">
      <c r="B20" s="322"/>
      <c r="C20" s="140" t="s">
        <v>127</v>
      </c>
      <c r="D20" s="371"/>
      <c r="E20" s="94" t="str">
        <f t="shared" ref="E20:P20" si="5">IF(E19=0, "", IF(MOD(E19, $D$19) = 0, E19/ $D$19, IF(INT(E19 / $D$19) = 0, MOD(E19, $D$19) &amp; " P", INT(E19 / $D$19) &amp; " + " &amp; MOD(E19, $D$19) &amp; " P")))</f>
        <v/>
      </c>
      <c r="F20" s="94" t="str">
        <f t="shared" si="5"/>
        <v/>
      </c>
      <c r="G20" s="94" t="str">
        <f t="shared" si="5"/>
        <v/>
      </c>
      <c r="H20" s="94" t="str">
        <f t="shared" si="5"/>
        <v/>
      </c>
      <c r="I20" s="123" t="str">
        <f t="shared" si="5"/>
        <v>6 P</v>
      </c>
      <c r="J20" s="123" t="str">
        <f t="shared" si="5"/>
        <v>5 P</v>
      </c>
      <c r="K20" s="123" t="str">
        <f t="shared" si="5"/>
        <v>2 P</v>
      </c>
      <c r="L20" s="123" t="str">
        <f t="shared" si="5"/>
        <v>26 P</v>
      </c>
      <c r="M20" s="123" t="str">
        <f t="shared" si="5"/>
        <v>1 + 29 P</v>
      </c>
      <c r="N20" s="123" t="str">
        <f t="shared" si="5"/>
        <v>7 P</v>
      </c>
      <c r="O20" s="123" t="str">
        <f t="shared" si="5"/>
        <v>6 P</v>
      </c>
      <c r="P20" s="94" t="str">
        <f t="shared" si="5"/>
        <v/>
      </c>
      <c r="Q20" s="313"/>
      <c r="R20" s="315"/>
      <c r="S20" s="242"/>
      <c r="T20" s="244"/>
      <c r="U20" s="3"/>
      <c r="V20" s="78"/>
      <c r="W20" s="79"/>
      <c r="X20" s="80"/>
      <c r="Y20" s="75"/>
      <c r="Z20" s="81"/>
      <c r="AK20" s="49">
        <v>12</v>
      </c>
    </row>
    <row r="21" spans="2:37" ht="72.599999999999994" customHeight="1" thickBot="1">
      <c r="B21" s="321">
        <v>4</v>
      </c>
      <c r="C21" s="138" t="s">
        <v>62</v>
      </c>
      <c r="D21" s="370">
        <v>32</v>
      </c>
      <c r="E21" s="91"/>
      <c r="F21" s="92"/>
      <c r="G21" s="92"/>
      <c r="H21" s="92"/>
      <c r="I21" s="124">
        <v>97</v>
      </c>
      <c r="J21" s="124">
        <v>83</v>
      </c>
      <c r="K21" s="124">
        <v>5</v>
      </c>
      <c r="L21" s="121">
        <v>104</v>
      </c>
      <c r="M21" s="121">
        <v>172</v>
      </c>
      <c r="N21" s="121">
        <v>42</v>
      </c>
      <c r="O21" s="122">
        <v>68</v>
      </c>
      <c r="P21" s="93"/>
      <c r="Q21" s="312">
        <f>SUM(E21:P21)</f>
        <v>571</v>
      </c>
      <c r="R21" s="314">
        <v>23</v>
      </c>
      <c r="S21" s="241">
        <v>1272</v>
      </c>
      <c r="T21" s="243">
        <f>SUM(S21-Q21)</f>
        <v>701</v>
      </c>
      <c r="U21" s="3"/>
      <c r="V21" s="78">
        <f>SUM(E21,F21)</f>
        <v>0</v>
      </c>
      <c r="W21" s="79">
        <f>SUM(G21,H21)</f>
        <v>0</v>
      </c>
      <c r="X21" s="80">
        <f>SUM(I21,J21)</f>
        <v>180</v>
      </c>
      <c r="Y21" s="75">
        <f>SUM(K21,L21,M21,)</f>
        <v>281</v>
      </c>
      <c r="Z21" s="77">
        <f>SUM(N21,O21,P21)</f>
        <v>110</v>
      </c>
      <c r="AK21" s="50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72.599999999999994" customHeight="1" thickBot="1">
      <c r="B22" s="322"/>
      <c r="C22" s="139" t="s">
        <v>111</v>
      </c>
      <c r="D22" s="371"/>
      <c r="E22" s="94" t="str">
        <f t="shared" ref="E22:P22" si="7">IF(E21=0, "", IF(MOD(E21, $D$21) = 0, E21/ $D$21, IF(INT(E21 / $D$21) = 0, MOD(E21, $D$21) &amp; " P", INT(E21 / $D$21) &amp; " + " &amp; MOD(E21, $D$21) &amp; " P")))</f>
        <v/>
      </c>
      <c r="F22" s="94" t="str">
        <f t="shared" si="7"/>
        <v/>
      </c>
      <c r="G22" s="94" t="str">
        <f t="shared" si="7"/>
        <v/>
      </c>
      <c r="H22" s="94" t="str">
        <f t="shared" si="7"/>
        <v/>
      </c>
      <c r="I22" s="123" t="str">
        <f t="shared" si="7"/>
        <v>3 + 1 P</v>
      </c>
      <c r="J22" s="123" t="str">
        <f t="shared" si="7"/>
        <v>2 + 19 P</v>
      </c>
      <c r="K22" s="123" t="str">
        <f t="shared" si="7"/>
        <v>5 P</v>
      </c>
      <c r="L22" s="123" t="str">
        <f t="shared" si="7"/>
        <v>3 + 8 P</v>
      </c>
      <c r="M22" s="123" t="str">
        <f t="shared" si="7"/>
        <v>5 + 12 P</v>
      </c>
      <c r="N22" s="123" t="str">
        <f t="shared" si="7"/>
        <v>1 + 10 P</v>
      </c>
      <c r="O22" s="123" t="str">
        <f t="shared" si="7"/>
        <v>2 + 4 P</v>
      </c>
      <c r="P22" s="94" t="str">
        <f t="shared" si="7"/>
        <v/>
      </c>
      <c r="Q22" s="313"/>
      <c r="R22" s="315"/>
      <c r="S22" s="242"/>
      <c r="T22" s="244"/>
      <c r="U22" s="3"/>
      <c r="V22" s="78"/>
      <c r="W22" s="79"/>
      <c r="X22" s="80"/>
      <c r="Y22" s="75"/>
      <c r="Z22" s="81"/>
      <c r="AK22" s="47">
        <v>227</v>
      </c>
    </row>
    <row r="23" spans="2:37" ht="72.599999999999994" customHeight="1" thickBot="1">
      <c r="B23" s="118">
        <v>5</v>
      </c>
      <c r="C23" s="141" t="s">
        <v>108</v>
      </c>
      <c r="D23" s="370">
        <v>18</v>
      </c>
      <c r="E23" s="99"/>
      <c r="F23" s="100"/>
      <c r="G23" s="100"/>
      <c r="H23" s="100"/>
      <c r="I23" s="131">
        <v>3</v>
      </c>
      <c r="J23" s="131">
        <v>1</v>
      </c>
      <c r="K23" s="131">
        <v>1</v>
      </c>
      <c r="L23" s="130">
        <v>9</v>
      </c>
      <c r="M23" s="130">
        <v>21</v>
      </c>
      <c r="N23" s="130">
        <v>3</v>
      </c>
      <c r="O23" s="132">
        <v>2</v>
      </c>
      <c r="P23" s="101"/>
      <c r="Q23" s="312">
        <f>SUM(E23:P23)</f>
        <v>40</v>
      </c>
      <c r="R23" s="314">
        <v>8</v>
      </c>
      <c r="S23" s="241">
        <v>100</v>
      </c>
      <c r="T23" s="243">
        <f>SUM(S23-Q23)</f>
        <v>60</v>
      </c>
      <c r="U23" s="3"/>
      <c r="V23" s="78">
        <f>SUM(E23,F23)</f>
        <v>0</v>
      </c>
      <c r="W23" s="79">
        <f>SUM(G23,H23)</f>
        <v>0</v>
      </c>
      <c r="X23" s="80">
        <f>SUM(I23,J23)</f>
        <v>4</v>
      </c>
      <c r="Y23" s="75">
        <f>SUM(K23,L23,M23,)</f>
        <v>31</v>
      </c>
      <c r="Z23" s="77">
        <f>SUM(N23,O23,P23)</f>
        <v>5</v>
      </c>
      <c r="AK23" s="48" t="str">
        <f t="shared" ref="AK23" si="8">IF(AK22=0, "", IF(MOD(AK22, $D$23) = 0, AK22/ $D$23, IF(INT(AK22 / $D$23) = 0, MOD(AK22, $D$23) &amp; " P", INT(AK22 / $D$23) &amp; " + " &amp; MOD(AK22, $D$23) &amp; " P")))</f>
        <v>12 + 11 P</v>
      </c>
    </row>
    <row r="24" spans="2:37" ht="72.599999999999994" customHeight="1" thickBot="1">
      <c r="B24" s="119"/>
      <c r="C24" s="139" t="s">
        <v>112</v>
      </c>
      <c r="D24" s="371"/>
      <c r="E24" s="102" t="str">
        <f t="shared" ref="E24:P24" si="9">IF(E23=0, "", IF(MOD(E23, $D$23) = 0, E23/ $D$23, IF(INT(E23 / $D$23) = 0, MOD(E23, $D$23) &amp; " P", INT(E23 / $D$23) &amp; " + " &amp; MOD(E23, $D$23) &amp; " P")))</f>
        <v/>
      </c>
      <c r="F24" s="102" t="str">
        <f t="shared" si="9"/>
        <v/>
      </c>
      <c r="G24" s="102" t="str">
        <f t="shared" si="9"/>
        <v/>
      </c>
      <c r="H24" s="102" t="str">
        <f t="shared" si="9"/>
        <v/>
      </c>
      <c r="I24" s="133" t="str">
        <f t="shared" si="9"/>
        <v>3 P</v>
      </c>
      <c r="J24" s="133" t="str">
        <f t="shared" si="9"/>
        <v>1 P</v>
      </c>
      <c r="K24" s="133" t="str">
        <f t="shared" si="9"/>
        <v>1 P</v>
      </c>
      <c r="L24" s="133" t="str">
        <f t="shared" si="9"/>
        <v>9 P</v>
      </c>
      <c r="M24" s="133" t="str">
        <f t="shared" si="9"/>
        <v>1 + 3 P</v>
      </c>
      <c r="N24" s="133" t="str">
        <f t="shared" si="9"/>
        <v>3 P</v>
      </c>
      <c r="O24" s="133" t="str">
        <f t="shared" si="9"/>
        <v>2 P</v>
      </c>
      <c r="P24" s="102" t="str">
        <f t="shared" si="9"/>
        <v/>
      </c>
      <c r="Q24" s="313"/>
      <c r="R24" s="315"/>
      <c r="S24" s="242"/>
      <c r="T24" s="244"/>
      <c r="U24" s="3"/>
      <c r="V24" s="78"/>
      <c r="W24" s="79"/>
      <c r="X24" s="80"/>
      <c r="Y24" s="75"/>
      <c r="Z24" s="81"/>
      <c r="AK24" s="49">
        <v>25</v>
      </c>
    </row>
    <row r="25" spans="2:37" ht="72.599999999999994" customHeight="1" thickBot="1">
      <c r="B25" s="118">
        <v>6</v>
      </c>
      <c r="C25" s="142" t="s">
        <v>63</v>
      </c>
      <c r="D25" s="368">
        <v>36</v>
      </c>
      <c r="E25" s="91"/>
      <c r="F25" s="92"/>
      <c r="G25" s="92"/>
      <c r="H25" s="92"/>
      <c r="I25" s="124">
        <v>31</v>
      </c>
      <c r="J25" s="124">
        <v>9</v>
      </c>
      <c r="K25" s="124">
        <v>6</v>
      </c>
      <c r="L25" s="121">
        <v>124</v>
      </c>
      <c r="M25" s="121">
        <v>230</v>
      </c>
      <c r="N25" s="121">
        <v>17</v>
      </c>
      <c r="O25" s="122">
        <v>20</v>
      </c>
      <c r="P25" s="93"/>
      <c r="Q25" s="312">
        <f>SUM(E25:P25)</f>
        <v>437</v>
      </c>
      <c r="R25" s="314">
        <v>16</v>
      </c>
      <c r="S25" s="241">
        <v>650</v>
      </c>
      <c r="T25" s="243">
        <f>SUM(S25-Q25)</f>
        <v>213</v>
      </c>
      <c r="U25" s="3"/>
      <c r="V25" s="78">
        <f>SUM(E25,F25)</f>
        <v>0</v>
      </c>
      <c r="W25" s="79">
        <f>SUM(G25,H25)</f>
        <v>0</v>
      </c>
      <c r="X25" s="80">
        <f>SUM(I25,J25)</f>
        <v>40</v>
      </c>
      <c r="Y25" s="75">
        <f>SUM(K25,L25,M25,)</f>
        <v>360</v>
      </c>
      <c r="Z25" s="77">
        <f>SUM(N25,O25,P25)</f>
        <v>37</v>
      </c>
      <c r="AK25" s="50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72.599999999999994" customHeight="1" thickBot="1">
      <c r="B26" s="119"/>
      <c r="C26" s="139" t="s">
        <v>113</v>
      </c>
      <c r="D26" s="369"/>
      <c r="E26" s="94" t="str">
        <f t="shared" ref="E26:P26" si="11">IF(E25=0, "", IF(MOD(E25, $D$25) = 0, E25/ $D$25, IF(INT(E25 / $D$25) = 0, MOD(E25, $D$25) &amp; " P", INT(E25 / $D$25) &amp; " + " &amp; MOD(E25, $D$25) &amp; " P")))</f>
        <v/>
      </c>
      <c r="F26" s="94" t="str">
        <f t="shared" si="11"/>
        <v/>
      </c>
      <c r="G26" s="94" t="str">
        <f t="shared" si="11"/>
        <v/>
      </c>
      <c r="H26" s="94" t="str">
        <f t="shared" si="11"/>
        <v/>
      </c>
      <c r="I26" s="123" t="str">
        <f t="shared" si="11"/>
        <v>31 P</v>
      </c>
      <c r="J26" s="123" t="str">
        <f t="shared" si="11"/>
        <v>9 P</v>
      </c>
      <c r="K26" s="123" t="str">
        <f t="shared" si="11"/>
        <v>6 P</v>
      </c>
      <c r="L26" s="123" t="str">
        <f t="shared" si="11"/>
        <v>3 + 16 P</v>
      </c>
      <c r="M26" s="123" t="str">
        <f t="shared" si="11"/>
        <v>6 + 14 P</v>
      </c>
      <c r="N26" s="123" t="str">
        <f t="shared" si="11"/>
        <v>17 P</v>
      </c>
      <c r="O26" s="123" t="str">
        <f t="shared" si="11"/>
        <v>20 P</v>
      </c>
      <c r="P26" s="94" t="str">
        <f t="shared" si="11"/>
        <v/>
      </c>
      <c r="Q26" s="313"/>
      <c r="R26" s="315"/>
      <c r="S26" s="242"/>
      <c r="T26" s="244"/>
      <c r="U26" s="3"/>
      <c r="V26" s="78"/>
      <c r="W26" s="79"/>
      <c r="X26" s="80"/>
      <c r="Y26" s="75"/>
      <c r="Z26" s="81"/>
      <c r="AK26" s="49">
        <v>2</v>
      </c>
    </row>
    <row r="27" spans="2:37" ht="72.599999999999994" customHeight="1" thickBot="1">
      <c r="B27" s="118">
        <v>7</v>
      </c>
      <c r="C27" s="138" t="s">
        <v>104</v>
      </c>
      <c r="D27" s="368">
        <v>20</v>
      </c>
      <c r="E27" s="91"/>
      <c r="F27" s="92"/>
      <c r="G27" s="92"/>
      <c r="H27" s="92"/>
      <c r="I27" s="124">
        <v>8</v>
      </c>
      <c r="J27" s="124">
        <v>2</v>
      </c>
      <c r="K27" s="124">
        <v>0</v>
      </c>
      <c r="L27" s="121">
        <v>14</v>
      </c>
      <c r="M27" s="121">
        <v>37</v>
      </c>
      <c r="N27" s="121">
        <v>6</v>
      </c>
      <c r="O27" s="122">
        <v>8</v>
      </c>
      <c r="P27" s="93"/>
      <c r="Q27" s="312">
        <f>SUM(E27:P27)</f>
        <v>75</v>
      </c>
      <c r="R27" s="314">
        <v>7</v>
      </c>
      <c r="S27" s="241">
        <v>140</v>
      </c>
      <c r="T27" s="243">
        <f>SUM(S27-Q27)</f>
        <v>65</v>
      </c>
      <c r="U27" s="3"/>
      <c r="V27" s="74">
        <f>SUM(E27,F27)</f>
        <v>0</v>
      </c>
      <c r="W27" s="79">
        <f>SUM(G27,H27)</f>
        <v>0</v>
      </c>
      <c r="X27" s="80">
        <f>SUM(I27,J27)</f>
        <v>10</v>
      </c>
      <c r="Y27" s="75">
        <f>SUM(K27,L27,M27,)</f>
        <v>51</v>
      </c>
      <c r="Z27" s="77">
        <f>SUM(N27,O27,P27)</f>
        <v>14</v>
      </c>
      <c r="AK27" s="50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72.599999999999994" customHeight="1" thickBot="1">
      <c r="B28" s="119"/>
      <c r="C28" s="140" t="s">
        <v>107</v>
      </c>
      <c r="D28" s="369"/>
      <c r="E28" s="94" t="str">
        <f t="shared" ref="E28:P28" si="13">IF(E27=0, "", IF(MOD(E27, $D$27) = 0, E27/ $D$27, IF(INT(E27 / $D$27) = 0, MOD(E27, $D$27) &amp; " P", INT(E27 / $D$27) &amp; " + " &amp; MOD(E27, $D$27) &amp; " P")))</f>
        <v/>
      </c>
      <c r="F28" s="94" t="str">
        <f t="shared" si="13"/>
        <v/>
      </c>
      <c r="G28" s="94" t="str">
        <f t="shared" si="13"/>
        <v/>
      </c>
      <c r="H28" s="94" t="str">
        <f t="shared" si="13"/>
        <v/>
      </c>
      <c r="I28" s="123" t="str">
        <f t="shared" si="13"/>
        <v>8 P</v>
      </c>
      <c r="J28" s="123" t="str">
        <f t="shared" si="13"/>
        <v>2 P</v>
      </c>
      <c r="K28" s="123" t="str">
        <f t="shared" si="13"/>
        <v/>
      </c>
      <c r="L28" s="123" t="str">
        <f t="shared" si="13"/>
        <v>14 P</v>
      </c>
      <c r="M28" s="123" t="str">
        <f t="shared" si="13"/>
        <v>1 + 17 P</v>
      </c>
      <c r="N28" s="123" t="str">
        <f t="shared" si="13"/>
        <v>6 P</v>
      </c>
      <c r="O28" s="123" t="str">
        <f t="shared" si="13"/>
        <v>8 P</v>
      </c>
      <c r="P28" s="94" t="str">
        <f t="shared" si="13"/>
        <v/>
      </c>
      <c r="Q28" s="313"/>
      <c r="R28" s="315"/>
      <c r="S28" s="242"/>
      <c r="T28" s="244"/>
      <c r="U28" s="3"/>
      <c r="V28" s="74"/>
      <c r="W28" s="79"/>
      <c r="X28" s="80"/>
      <c r="Y28" s="75"/>
      <c r="Z28" s="81"/>
      <c r="AK28" s="51">
        <v>74</v>
      </c>
    </row>
    <row r="29" spans="2:37" ht="72.599999999999994" customHeight="1" thickBot="1">
      <c r="B29" s="118">
        <v>8</v>
      </c>
      <c r="C29" s="142" t="s">
        <v>128</v>
      </c>
      <c r="D29" s="368">
        <v>15</v>
      </c>
      <c r="E29" s="95"/>
      <c r="F29" s="96"/>
      <c r="G29" s="96"/>
      <c r="H29" s="96"/>
      <c r="I29" s="127">
        <v>6</v>
      </c>
      <c r="J29" s="127">
        <v>9</v>
      </c>
      <c r="K29" s="127">
        <v>0</v>
      </c>
      <c r="L29" s="126">
        <v>24</v>
      </c>
      <c r="M29" s="126">
        <v>57</v>
      </c>
      <c r="N29" s="126">
        <v>11</v>
      </c>
      <c r="O29" s="128">
        <v>15</v>
      </c>
      <c r="P29" s="98"/>
      <c r="Q29" s="312">
        <f>SUM(E29:P29)</f>
        <v>122</v>
      </c>
      <c r="R29" s="314">
        <v>10</v>
      </c>
      <c r="S29" s="241">
        <v>240</v>
      </c>
      <c r="T29" s="243">
        <f>SUM(S29-Q29)</f>
        <v>118</v>
      </c>
      <c r="U29" s="3"/>
      <c r="V29" s="74">
        <f>SUM(E29,F29)</f>
        <v>0</v>
      </c>
      <c r="W29" s="75">
        <f>SUM(G29,H29)</f>
        <v>0</v>
      </c>
      <c r="X29" s="76">
        <f>SUM(I29,J29)</f>
        <v>15</v>
      </c>
      <c r="Y29" s="75">
        <f>SUM(K29,L29,M29,)</f>
        <v>81</v>
      </c>
      <c r="Z29" s="77">
        <f>SUM(N29,O29,P29)</f>
        <v>26</v>
      </c>
      <c r="AK29" s="45" t="str">
        <f>IF(AK28=0, "", IF(MOD(AK28, $D$29) = 0, AK28/ $D$29, IF(INT(AK28 / $D$29) = 0, MOD(AK28, $D$29) &amp; " P", INT(AK28 / $D$29) &amp; " + " &amp; MOD(AK28, $D$29) &amp; " P")))</f>
        <v>4 + 14 P</v>
      </c>
    </row>
    <row r="30" spans="2:37" ht="72.599999999999994" customHeight="1" thickBot="1">
      <c r="B30" s="119"/>
      <c r="C30" s="139" t="s">
        <v>129</v>
      </c>
      <c r="D30" s="369"/>
      <c r="E30" s="94" t="str">
        <f t="shared" ref="E30:P30" si="14">IF(E29=0, "", IF(MOD(E29, $D$29) = 0, E29/ $D$29, IF(INT(E29 / $D$29) = 0, MOD(E29, $D$29) &amp; " P", INT(E29 / $D$29) &amp; " + " &amp; MOD(E29, $D$29) &amp; " P")))</f>
        <v/>
      </c>
      <c r="F30" s="94" t="str">
        <f t="shared" si="14"/>
        <v/>
      </c>
      <c r="G30" s="94" t="str">
        <f t="shared" si="14"/>
        <v/>
      </c>
      <c r="H30" s="94" t="str">
        <f t="shared" si="14"/>
        <v/>
      </c>
      <c r="I30" s="123" t="str">
        <f t="shared" si="14"/>
        <v>6 P</v>
      </c>
      <c r="J30" s="123" t="str">
        <f t="shared" si="14"/>
        <v>9 P</v>
      </c>
      <c r="K30" s="123" t="str">
        <f t="shared" si="14"/>
        <v/>
      </c>
      <c r="L30" s="123" t="str">
        <f t="shared" si="14"/>
        <v>1 + 9 P</v>
      </c>
      <c r="M30" s="123" t="str">
        <f t="shared" si="14"/>
        <v>3 + 12 P</v>
      </c>
      <c r="N30" s="123" t="str">
        <f t="shared" si="14"/>
        <v>11 P</v>
      </c>
      <c r="O30" s="123">
        <f t="shared" si="14"/>
        <v>1</v>
      </c>
      <c r="P30" s="94" t="str">
        <f t="shared" si="14"/>
        <v/>
      </c>
      <c r="Q30" s="313"/>
      <c r="R30" s="315"/>
      <c r="S30" s="242"/>
      <c r="T30" s="244"/>
      <c r="U30" s="3"/>
      <c r="V30" s="74"/>
      <c r="W30" s="79"/>
      <c r="X30" s="80"/>
      <c r="Y30" s="75"/>
      <c r="Z30" s="81"/>
      <c r="AK30" s="46">
        <v>34</v>
      </c>
    </row>
    <row r="31" spans="2:37" ht="72.599999999999994" customHeight="1" thickBot="1">
      <c r="B31" s="118">
        <v>9</v>
      </c>
      <c r="C31" s="142" t="s">
        <v>64</v>
      </c>
      <c r="D31" s="368">
        <v>45</v>
      </c>
      <c r="E31" s="95"/>
      <c r="F31" s="96"/>
      <c r="G31" s="96"/>
      <c r="H31" s="96"/>
      <c r="I31" s="126">
        <v>0</v>
      </c>
      <c r="J31" s="126">
        <v>2</v>
      </c>
      <c r="K31" s="126">
        <v>2</v>
      </c>
      <c r="L31" s="126">
        <v>4</v>
      </c>
      <c r="M31" s="126">
        <v>8</v>
      </c>
      <c r="N31" s="126">
        <v>0</v>
      </c>
      <c r="O31" s="128">
        <v>1</v>
      </c>
      <c r="P31" s="98"/>
      <c r="Q31" s="312">
        <f>SUM(E31:P31)</f>
        <v>17</v>
      </c>
      <c r="R31" s="318">
        <v>5</v>
      </c>
      <c r="S31" s="241">
        <v>70</v>
      </c>
      <c r="T31" s="243">
        <f>SUM(S31-Q31)</f>
        <v>53</v>
      </c>
      <c r="U31" s="3"/>
      <c r="V31" s="74">
        <f>SUM(E31,F31)</f>
        <v>0</v>
      </c>
      <c r="W31" s="75">
        <f>SUM(G31,H31)</f>
        <v>0</v>
      </c>
      <c r="X31" s="76">
        <f>SUM(I31,J31)</f>
        <v>2</v>
      </c>
      <c r="Y31" s="75">
        <f>SUM(K31,L31,M31,)</f>
        <v>14</v>
      </c>
      <c r="Z31" s="77">
        <f>SUM(N31,O31,P31)</f>
        <v>1</v>
      </c>
      <c r="AK31" s="45" t="str">
        <f t="shared" ref="AK31:AK33" si="15">IF(AK30=0, "", IF(MOD(AK30, $D$31) = 0, AK30/ $D$31, IF(INT(AK30 / $D$31) = 0, MOD(AK30, $D$31) &amp; " P", INT(AK30 / $D$31) &amp; " + " &amp; MOD(AK30, $D$31) &amp; " P")))</f>
        <v>34 P</v>
      </c>
    </row>
    <row r="32" spans="2:37" ht="72.599999999999994" customHeight="1" thickBot="1">
      <c r="B32" s="119"/>
      <c r="C32" s="140" t="s">
        <v>114</v>
      </c>
      <c r="D32" s="369"/>
      <c r="E32" s="94" t="str">
        <f t="shared" ref="E32:P32" si="16">IF(E31=0, "", IF(MOD(E31, $D$31) = 0, E31/ $D$31, IF(INT(E31 / $D$31) = 0, MOD(E31, $D$31) &amp; " P", INT(E31 / $D$31) &amp; " + " &amp; MOD(E31, $D$31) &amp; " P")))</f>
        <v/>
      </c>
      <c r="F32" s="94" t="str">
        <f t="shared" si="16"/>
        <v/>
      </c>
      <c r="G32" s="94" t="str">
        <f t="shared" si="16"/>
        <v/>
      </c>
      <c r="H32" s="94" t="str">
        <f t="shared" si="16"/>
        <v/>
      </c>
      <c r="I32" s="123" t="str">
        <f t="shared" si="16"/>
        <v/>
      </c>
      <c r="J32" s="123" t="str">
        <f t="shared" si="16"/>
        <v>2 P</v>
      </c>
      <c r="K32" s="123" t="str">
        <f t="shared" si="16"/>
        <v>2 P</v>
      </c>
      <c r="L32" s="123" t="str">
        <f t="shared" si="16"/>
        <v>4 P</v>
      </c>
      <c r="M32" s="123" t="str">
        <f t="shared" si="16"/>
        <v>8 P</v>
      </c>
      <c r="N32" s="123" t="str">
        <f t="shared" si="16"/>
        <v/>
      </c>
      <c r="O32" s="123" t="str">
        <f t="shared" si="16"/>
        <v>1 P</v>
      </c>
      <c r="P32" s="94" t="str">
        <f t="shared" si="16"/>
        <v/>
      </c>
      <c r="Q32" s="313"/>
      <c r="R32" s="315"/>
      <c r="S32" s="242"/>
      <c r="T32" s="244"/>
      <c r="U32" s="3"/>
      <c r="V32" s="74"/>
      <c r="W32" s="79"/>
      <c r="X32" s="80"/>
      <c r="Y32" s="75"/>
      <c r="Z32" s="81"/>
      <c r="AK32" s="46">
        <v>33</v>
      </c>
    </row>
    <row r="33" spans="2:37" ht="72.599999999999994" customHeight="1" thickBot="1">
      <c r="B33" s="118">
        <v>10</v>
      </c>
      <c r="C33" s="142" t="s">
        <v>132</v>
      </c>
      <c r="D33" s="368">
        <v>15</v>
      </c>
      <c r="E33" s="95"/>
      <c r="F33" s="96"/>
      <c r="G33" s="96"/>
      <c r="H33" s="96"/>
      <c r="I33" s="126">
        <v>16</v>
      </c>
      <c r="J33" s="126">
        <v>20</v>
      </c>
      <c r="K33" s="126">
        <v>1</v>
      </c>
      <c r="L33" s="126">
        <v>28</v>
      </c>
      <c r="M33" s="126">
        <v>79</v>
      </c>
      <c r="N33" s="126">
        <v>16</v>
      </c>
      <c r="O33" s="128">
        <v>19</v>
      </c>
      <c r="P33" s="98"/>
      <c r="Q33" s="312">
        <f>SUM(E33:P33)</f>
        <v>179</v>
      </c>
      <c r="R33" s="318">
        <v>17</v>
      </c>
      <c r="S33" s="241">
        <v>320</v>
      </c>
      <c r="T33" s="243">
        <f t="shared" ref="T33" si="17">SUM(S33-Q33)</f>
        <v>141</v>
      </c>
      <c r="U33" s="3"/>
      <c r="V33" s="74">
        <f>SUM(E33,F33)</f>
        <v>0</v>
      </c>
      <c r="W33" s="75">
        <f>SUM(G33,H33)</f>
        <v>0</v>
      </c>
      <c r="X33" s="76">
        <f>SUM(I33,J33)</f>
        <v>36</v>
      </c>
      <c r="Y33" s="75">
        <f>SUM(K33,L33,M33,)</f>
        <v>108</v>
      </c>
      <c r="Z33" s="77">
        <f>SUM(N33,O33,P33)</f>
        <v>35</v>
      </c>
      <c r="AK33" s="45" t="str">
        <f t="shared" si="15"/>
        <v>33 P</v>
      </c>
    </row>
    <row r="34" spans="2:37" ht="72.599999999999994" customHeight="1" thickBot="1">
      <c r="B34" s="119"/>
      <c r="C34" s="140" t="s">
        <v>133</v>
      </c>
      <c r="D34" s="369"/>
      <c r="E34" s="94" t="str">
        <f>IF(E33=0, "", IF(MOD(E33, $D$33) = 0, E33/ $D$33, IF(INT(E33 / $D$33) = 0, MOD(E33, $D$33) &amp; " P", INT(E33 / $D$33) &amp; " + " &amp; MOD(E33, $D$33) &amp; " P")))</f>
        <v/>
      </c>
      <c r="F34" s="94" t="str">
        <f t="shared" ref="F34:P34" si="18">IF(F33=0, "", IF(MOD(F33, $D$33) = 0, F33/ $D$33, IF(INT(F33 / $D$33) = 0, MOD(F33, $D$33) &amp; " P", INT(F33 / $D$33) &amp; " + " &amp; MOD(F33, $D$33) &amp; " P")))</f>
        <v/>
      </c>
      <c r="G34" s="94" t="str">
        <f t="shared" si="18"/>
        <v/>
      </c>
      <c r="H34" s="94" t="str">
        <f t="shared" si="18"/>
        <v/>
      </c>
      <c r="I34" s="123" t="str">
        <f t="shared" si="18"/>
        <v>1 + 1 P</v>
      </c>
      <c r="J34" s="123" t="str">
        <f t="shared" si="18"/>
        <v>1 + 5 P</v>
      </c>
      <c r="K34" s="123" t="str">
        <f t="shared" si="18"/>
        <v>1 P</v>
      </c>
      <c r="L34" s="123" t="str">
        <f t="shared" si="18"/>
        <v>1 + 13 P</v>
      </c>
      <c r="M34" s="123" t="str">
        <f t="shared" si="18"/>
        <v>5 + 4 P</v>
      </c>
      <c r="N34" s="123" t="str">
        <f t="shared" si="18"/>
        <v>1 + 1 P</v>
      </c>
      <c r="O34" s="123" t="str">
        <f t="shared" si="18"/>
        <v>1 + 4 P</v>
      </c>
      <c r="P34" s="94" t="str">
        <f t="shared" si="18"/>
        <v/>
      </c>
      <c r="Q34" s="313"/>
      <c r="R34" s="315"/>
      <c r="S34" s="242"/>
      <c r="T34" s="244"/>
      <c r="U34" s="3"/>
      <c r="V34" s="74"/>
      <c r="W34" s="79"/>
      <c r="X34" s="80"/>
      <c r="Y34" s="75"/>
      <c r="Z34" s="81"/>
      <c r="AK34" s="46">
        <v>33</v>
      </c>
    </row>
    <row r="35" spans="2:37" ht="72.599999999999994" customHeight="1" thickBot="1">
      <c r="B35" s="118">
        <v>11</v>
      </c>
      <c r="C35" s="142" t="s">
        <v>109</v>
      </c>
      <c r="D35" s="368">
        <v>15</v>
      </c>
      <c r="E35" s="116"/>
      <c r="F35" s="97"/>
      <c r="G35" s="97"/>
      <c r="H35" s="97"/>
      <c r="I35" s="127">
        <v>12</v>
      </c>
      <c r="J35" s="127">
        <v>19</v>
      </c>
      <c r="K35" s="127">
        <v>0</v>
      </c>
      <c r="L35" s="127">
        <v>26</v>
      </c>
      <c r="M35" s="127">
        <v>60</v>
      </c>
      <c r="N35" s="127">
        <v>14</v>
      </c>
      <c r="O35" s="135">
        <v>10</v>
      </c>
      <c r="P35" s="117"/>
      <c r="Q35" s="312">
        <f>SUM(E35:P35)</f>
        <v>141</v>
      </c>
      <c r="R35" s="314">
        <v>11</v>
      </c>
      <c r="S35" s="241">
        <v>190</v>
      </c>
      <c r="T35" s="316">
        <f t="shared" ref="T35" si="19">SUM(S35-Q35)</f>
        <v>49</v>
      </c>
      <c r="U35" s="3"/>
      <c r="V35" s="74">
        <f>SUM(E35,F35)</f>
        <v>0</v>
      </c>
      <c r="W35" s="75">
        <f>SUM(G35,H35)</f>
        <v>0</v>
      </c>
      <c r="X35" s="76">
        <f>SUM(I35,J35)</f>
        <v>31</v>
      </c>
      <c r="Y35" s="75">
        <f>SUM(K35,L35,M35,)</f>
        <v>86</v>
      </c>
      <c r="Z35" s="77">
        <f>SUM(N35,O35,P35)</f>
        <v>24</v>
      </c>
      <c r="AK35" s="45" t="str">
        <f>IF(AK30=0, "", IF(MOD(AK30, $D$37) = 0, AK30/ $D$37, IF(INT(AK30 / $D$37) = 0, MOD(AK30, $D$37) &amp; " P", INT(AK30 / $D$37) &amp; " + " &amp; MOD(AK30, $D$37) &amp; " P")))</f>
        <v>1 + 7 P</v>
      </c>
    </row>
    <row r="36" spans="2:37" ht="72.599999999999994" customHeight="1" thickBot="1">
      <c r="B36" s="119"/>
      <c r="C36" s="140" t="s">
        <v>118</v>
      </c>
      <c r="D36" s="369"/>
      <c r="E36" s="94" t="str">
        <f>IF(E35=0, "", IF(MOD(E35, $D$35) = 0, E35/ $D$35, IF(INT(E35 / $D$35) = 0, MOD(E35, $D$35) &amp; " P", INT(E35 / $D$35) &amp; " + " &amp; MOD(E35, $D$35) &amp; " P")))</f>
        <v/>
      </c>
      <c r="F36" s="94" t="str">
        <f t="shared" ref="F36:P36" si="20">IF(F35=0, "", IF(MOD(F35, $D$35) = 0, F35/ $D$35, IF(INT(F35 / $D$35) = 0, MOD(F35, $D$35) &amp; " P", INT(F35 / $D$35) &amp; " + " &amp; MOD(F35, $D$35) &amp; " P")))</f>
        <v/>
      </c>
      <c r="G36" s="94" t="str">
        <f t="shared" si="20"/>
        <v/>
      </c>
      <c r="H36" s="94" t="str">
        <f t="shared" si="20"/>
        <v/>
      </c>
      <c r="I36" s="123" t="str">
        <f t="shared" si="20"/>
        <v>12 P</v>
      </c>
      <c r="J36" s="123" t="str">
        <f t="shared" si="20"/>
        <v>1 + 4 P</v>
      </c>
      <c r="K36" s="123" t="str">
        <f t="shared" si="20"/>
        <v/>
      </c>
      <c r="L36" s="123" t="str">
        <f t="shared" si="20"/>
        <v>1 + 11 P</v>
      </c>
      <c r="M36" s="123">
        <f>IF(M35=0, "", IF(MOD(M35, $D$35) = 0, M35/ $D$35, IF(INT(M35 / $D$35) = 0, MOD(M35, $D$35) &amp; " P", INT(M35 / $D$35) &amp; " + " &amp; MOD(M35, $D$35) &amp; " P")))</f>
        <v>4</v>
      </c>
      <c r="N36" s="123" t="str">
        <f>IF(N35=0, "", IF(MOD(N35, $D$35) = 0, N35/ $D$35, IF(INT(N35 / $D$35) = 0, MOD(N35, $D$35) &amp; " P", INT(N35 / $D$35) &amp; " + " &amp; MOD(N35, $D$35) &amp; " P")))</f>
        <v>14 P</v>
      </c>
      <c r="O36" s="123" t="str">
        <f t="shared" si="20"/>
        <v>10 P</v>
      </c>
      <c r="P36" s="94" t="str">
        <f t="shared" si="20"/>
        <v/>
      </c>
      <c r="Q36" s="313"/>
      <c r="R36" s="315"/>
      <c r="S36" s="242"/>
      <c r="T36" s="317"/>
      <c r="U36" s="3"/>
      <c r="V36" s="74"/>
      <c r="W36" s="79"/>
      <c r="X36" s="80"/>
      <c r="Y36" s="75"/>
      <c r="Z36" s="81"/>
    </row>
    <row r="37" spans="2:37" ht="72.599999999999994" customHeight="1" thickBot="1">
      <c r="B37" s="118">
        <v>12</v>
      </c>
      <c r="C37" s="142" t="s">
        <v>130</v>
      </c>
      <c r="D37" s="368">
        <v>27</v>
      </c>
      <c r="E37" s="91"/>
      <c r="F37" s="91"/>
      <c r="G37" s="91"/>
      <c r="H37" s="91"/>
      <c r="I37" s="120">
        <v>19</v>
      </c>
      <c r="J37" s="120">
        <v>20</v>
      </c>
      <c r="K37" s="120">
        <v>0</v>
      </c>
      <c r="L37" s="120">
        <v>66</v>
      </c>
      <c r="M37" s="120">
        <v>86</v>
      </c>
      <c r="N37" s="120">
        <v>30</v>
      </c>
      <c r="O37" s="120">
        <v>35</v>
      </c>
      <c r="P37" s="91"/>
      <c r="Q37" s="312">
        <f>SUM(E37:P37)</f>
        <v>256</v>
      </c>
      <c r="R37" s="314">
        <v>13</v>
      </c>
      <c r="S37" s="241">
        <v>440</v>
      </c>
      <c r="T37" s="316">
        <f t="shared" ref="T37" si="21">SUM(S37-Q37)</f>
        <v>184</v>
      </c>
      <c r="U37" s="3"/>
      <c r="V37" s="74">
        <f>SUM(E37,F37)</f>
        <v>0</v>
      </c>
      <c r="W37" s="75">
        <f>SUM(G37,H37)</f>
        <v>0</v>
      </c>
      <c r="X37" s="76">
        <f>SUM(I37,J37)</f>
        <v>39</v>
      </c>
      <c r="Y37" s="75">
        <f>SUM(K37,L37,M37,)</f>
        <v>152</v>
      </c>
      <c r="Z37" s="77">
        <f>SUM(N37,O37,P37)</f>
        <v>65</v>
      </c>
      <c r="AK37" s="45" t="str">
        <f>IF(AK32=0, "", IF(MOD(AK32, $D$37) = 0, AK32/ $D$37, IF(INT(AK32 / $D$37) = 0, MOD(AK32, $D$37) &amp; " P", INT(AK32 / $D$37) &amp; " + " &amp; MOD(AK32, $D$37) &amp; " P")))</f>
        <v>1 + 6 P</v>
      </c>
    </row>
    <row r="38" spans="2:37" ht="72.599999999999994" customHeight="1" thickBot="1">
      <c r="B38" s="119"/>
      <c r="C38" s="140" t="s">
        <v>131</v>
      </c>
      <c r="D38" s="369"/>
      <c r="E38" s="94" t="str">
        <f>IF(E37=0, "", IF(MOD(E37, $D$37) = 0, E37/ $D$37, IF(INT(E37 / $D$37) = 0, MOD(E37, $D$37) &amp; " P", INT(E37 / $D$37) &amp; " + " &amp; MOD(E37, $D$37) &amp; " P")))</f>
        <v/>
      </c>
      <c r="F38" s="94" t="str">
        <f t="shared" ref="F38:P38" si="22">IF(F37=0, "", IF(MOD(F37, $D$37) = 0, F37/ $D$37, IF(INT(F37 / $D$37) = 0, MOD(F37, $D$37) &amp; " P", INT(F37 / $D$37) &amp; " + " &amp; MOD(F37, $D$37) &amp; " P")))</f>
        <v/>
      </c>
      <c r="G38" s="94" t="str">
        <f t="shared" si="22"/>
        <v/>
      </c>
      <c r="H38" s="94" t="str">
        <f t="shared" si="22"/>
        <v/>
      </c>
      <c r="I38" s="123" t="str">
        <f t="shared" si="22"/>
        <v>19 P</v>
      </c>
      <c r="J38" s="123" t="str">
        <f t="shared" si="22"/>
        <v>20 P</v>
      </c>
      <c r="K38" s="123" t="str">
        <f t="shared" si="22"/>
        <v/>
      </c>
      <c r="L38" s="123" t="str">
        <f t="shared" si="22"/>
        <v>2 + 12 P</v>
      </c>
      <c r="M38" s="123" t="str">
        <f t="shared" si="22"/>
        <v>3 + 5 P</v>
      </c>
      <c r="N38" s="123" t="str">
        <f t="shared" si="22"/>
        <v>1 + 3 P</v>
      </c>
      <c r="O38" s="123" t="str">
        <f t="shared" si="22"/>
        <v>1 + 8 P</v>
      </c>
      <c r="P38" s="94" t="str">
        <f t="shared" si="22"/>
        <v/>
      </c>
      <c r="Q38" s="313"/>
      <c r="R38" s="315"/>
      <c r="S38" s="242"/>
      <c r="T38" s="317"/>
      <c r="U38" s="3"/>
      <c r="V38" s="74"/>
      <c r="W38" s="79"/>
      <c r="X38" s="80"/>
      <c r="Y38" s="75"/>
      <c r="Z38" s="81"/>
    </row>
    <row r="39" spans="2:37" ht="72.599999999999994" customHeight="1" thickBot="1">
      <c r="B39" s="118">
        <v>13</v>
      </c>
      <c r="C39" s="142" t="s">
        <v>65</v>
      </c>
      <c r="D39" s="368">
        <v>20</v>
      </c>
      <c r="E39" s="91"/>
      <c r="F39" s="91"/>
      <c r="G39" s="91"/>
      <c r="H39" s="91"/>
      <c r="I39" s="120">
        <v>18</v>
      </c>
      <c r="J39" s="120">
        <v>19</v>
      </c>
      <c r="K39" s="120">
        <v>3</v>
      </c>
      <c r="L39" s="120">
        <v>53</v>
      </c>
      <c r="M39" s="120">
        <v>135</v>
      </c>
      <c r="N39" s="120">
        <v>6</v>
      </c>
      <c r="O39" s="120">
        <v>9</v>
      </c>
      <c r="P39" s="91"/>
      <c r="Q39" s="312">
        <f>SUM(E39:P39)</f>
        <v>243</v>
      </c>
      <c r="R39" s="314">
        <v>15</v>
      </c>
      <c r="S39" s="241">
        <v>450</v>
      </c>
      <c r="T39" s="316">
        <f t="shared" ref="T39" si="23">SUM(S39-Q39)</f>
        <v>207</v>
      </c>
      <c r="U39" s="3"/>
      <c r="V39" s="74">
        <f>SUM(E39,F39)</f>
        <v>0</v>
      </c>
      <c r="W39" s="75">
        <f>SUM(G39,H39)</f>
        <v>0</v>
      </c>
      <c r="X39" s="76">
        <f>SUM(I39,J39)</f>
        <v>37</v>
      </c>
      <c r="Y39" s="75">
        <f>SUM(K39,L39,M39,)</f>
        <v>191</v>
      </c>
      <c r="Z39" s="77">
        <f>SUM(N39,O39,P39)</f>
        <v>15</v>
      </c>
      <c r="AK39" s="45" t="str">
        <f>IF(AK36=0, "", IF(MOD(AK36, $D$37) = 0, AK36/ $D$37, IF(INT(AK36 / $D$37) = 0, MOD(AK36, $D$37) &amp; " P", INT(AK36 / $D$37) &amp; " + " &amp; MOD(AK36, $D$37) &amp; " P")))</f>
        <v/>
      </c>
    </row>
    <row r="40" spans="2:37" ht="72.599999999999994" customHeight="1" thickBot="1">
      <c r="B40" s="119"/>
      <c r="C40" s="139" t="s">
        <v>115</v>
      </c>
      <c r="D40" s="369"/>
      <c r="E40" s="94" t="str">
        <f>IF(E39=0, "", IF(MOD(E39, $D$39) = 0, E39/ $D$39, IF(INT(E39 / $D$39) = 0, MOD(E39, $D$39) &amp; " P", INT(E39 / $D$39) &amp; " + " &amp; MOD(E39, $D$39) &amp; " P")))</f>
        <v/>
      </c>
      <c r="F40" s="94" t="str">
        <f t="shared" ref="F40:P40" si="24">IF(F39=0, "", IF(MOD(F39, $D$39) = 0, F39/ $D$39, IF(INT(F39 / $D$39) = 0, MOD(F39, $D$39) &amp; " P", INT(F39 / $D$39) &amp; " + " &amp; MOD(F39, $D$39) &amp; " P")))</f>
        <v/>
      </c>
      <c r="G40" s="94" t="str">
        <f t="shared" si="24"/>
        <v/>
      </c>
      <c r="H40" s="94" t="str">
        <f t="shared" si="24"/>
        <v/>
      </c>
      <c r="I40" s="123" t="str">
        <f t="shared" si="24"/>
        <v>18 P</v>
      </c>
      <c r="J40" s="123" t="str">
        <f t="shared" si="24"/>
        <v>19 P</v>
      </c>
      <c r="K40" s="123" t="str">
        <f t="shared" si="24"/>
        <v>3 P</v>
      </c>
      <c r="L40" s="123" t="str">
        <f t="shared" si="24"/>
        <v>2 + 13 P</v>
      </c>
      <c r="M40" s="123" t="str">
        <f t="shared" si="24"/>
        <v>6 + 15 P</v>
      </c>
      <c r="N40" s="123" t="str">
        <f t="shared" si="24"/>
        <v>6 P</v>
      </c>
      <c r="O40" s="123" t="str">
        <f t="shared" si="24"/>
        <v>9 P</v>
      </c>
      <c r="P40" s="94" t="str">
        <f t="shared" si="24"/>
        <v/>
      </c>
      <c r="Q40" s="313"/>
      <c r="R40" s="315"/>
      <c r="S40" s="242"/>
      <c r="T40" s="317"/>
      <c r="U40" s="3"/>
      <c r="V40" s="74"/>
      <c r="W40" s="79"/>
      <c r="X40" s="80"/>
      <c r="Y40" s="75"/>
      <c r="Z40" s="81"/>
    </row>
    <row r="41" spans="2:37" ht="72.599999999999994" customHeight="1" thickBot="1">
      <c r="B41" s="118">
        <v>14</v>
      </c>
      <c r="C41" s="141" t="s">
        <v>66</v>
      </c>
      <c r="D41" s="368">
        <v>32</v>
      </c>
      <c r="E41" s="91"/>
      <c r="F41" s="91"/>
      <c r="G41" s="91"/>
      <c r="H41" s="91"/>
      <c r="I41" s="120">
        <v>6</v>
      </c>
      <c r="J41" s="120">
        <v>2</v>
      </c>
      <c r="K41" s="120">
        <v>0</v>
      </c>
      <c r="L41" s="120">
        <v>31</v>
      </c>
      <c r="M41" s="120">
        <v>47</v>
      </c>
      <c r="N41" s="120">
        <v>9</v>
      </c>
      <c r="O41" s="120">
        <v>2</v>
      </c>
      <c r="P41" s="91"/>
      <c r="Q41" s="312">
        <f>SUM(E41:P41)</f>
        <v>97</v>
      </c>
      <c r="R41" s="314">
        <v>7</v>
      </c>
      <c r="S41" s="241">
        <v>220</v>
      </c>
      <c r="T41" s="243">
        <f t="shared" ref="T41" si="25">SUM(S41-Q41)</f>
        <v>123</v>
      </c>
      <c r="U41" s="3"/>
      <c r="V41" s="74">
        <f>SUM(E41,F41)</f>
        <v>0</v>
      </c>
      <c r="W41" s="75">
        <f>SUM(G41,H41)</f>
        <v>0</v>
      </c>
      <c r="X41" s="76">
        <f>SUM(I41,J41)</f>
        <v>8</v>
      </c>
      <c r="Y41" s="75">
        <f>SUM(K41,L41,M41,)</f>
        <v>78</v>
      </c>
      <c r="Z41" s="77">
        <f>SUM(N41,O41,P41)</f>
        <v>11</v>
      </c>
      <c r="AK41" s="45" t="str">
        <f>IF(AK38=0, "", IF(MOD(AK38, $D$37) = 0, AK38/ $D$37, IF(INT(AK38 / $D$37) = 0, MOD(AK38, $D$37) &amp; " P", INT(AK38 / $D$37) &amp; " + " &amp; MOD(AK38, $D$37) &amp; " P")))</f>
        <v/>
      </c>
    </row>
    <row r="42" spans="2:37" ht="72.599999999999994" customHeight="1" thickBot="1">
      <c r="B42" s="119"/>
      <c r="C42" s="139" t="s">
        <v>116</v>
      </c>
      <c r="D42" s="369"/>
      <c r="E42" s="94" t="str">
        <f>IF(E41=0, "", IF(MOD(E41, $D$41) = 0, E41/ $D$41, IF(INT(E41 / $D$41) = 0, MOD(E41, $D$41) &amp; " P", INT(E41 / $D$41) &amp; " + " &amp; MOD(E41, $D$41) &amp; " P")))</f>
        <v/>
      </c>
      <c r="F42" s="94" t="str">
        <f t="shared" ref="F42:P42" si="26">IF(F41=0, "", IF(MOD(F41, $D$41) = 0, F41/ $D$41, IF(INT(F41 / $D$41) = 0, MOD(F41, $D$41) &amp; " P", INT(F41 / $D$41) &amp; " + " &amp; MOD(F41, $D$41) &amp; " P")))</f>
        <v/>
      </c>
      <c r="G42" s="94" t="str">
        <f t="shared" si="26"/>
        <v/>
      </c>
      <c r="H42" s="94" t="str">
        <f t="shared" si="26"/>
        <v/>
      </c>
      <c r="I42" s="123" t="str">
        <f t="shared" si="26"/>
        <v>6 P</v>
      </c>
      <c r="J42" s="123" t="str">
        <f t="shared" si="26"/>
        <v>2 P</v>
      </c>
      <c r="K42" s="123" t="str">
        <f t="shared" si="26"/>
        <v/>
      </c>
      <c r="L42" s="123" t="str">
        <f t="shared" si="26"/>
        <v>31 P</v>
      </c>
      <c r="M42" s="123" t="str">
        <f t="shared" si="26"/>
        <v>1 + 15 P</v>
      </c>
      <c r="N42" s="123" t="str">
        <f t="shared" si="26"/>
        <v>9 P</v>
      </c>
      <c r="O42" s="123" t="str">
        <f t="shared" si="26"/>
        <v>2 P</v>
      </c>
      <c r="P42" s="94" t="str">
        <f t="shared" si="26"/>
        <v/>
      </c>
      <c r="Q42" s="313"/>
      <c r="R42" s="315"/>
      <c r="S42" s="242"/>
      <c r="T42" s="244"/>
      <c r="U42" s="3"/>
      <c r="V42" s="74"/>
      <c r="W42" s="79"/>
      <c r="X42" s="80"/>
      <c r="Y42" s="75"/>
      <c r="Z42" s="81"/>
    </row>
    <row r="43" spans="2:37" ht="72.599999999999994" customHeight="1" thickBot="1">
      <c r="B43" s="118">
        <v>15</v>
      </c>
      <c r="C43" s="138" t="s">
        <v>105</v>
      </c>
      <c r="D43" s="368">
        <v>15</v>
      </c>
      <c r="E43" s="91"/>
      <c r="F43" s="91"/>
      <c r="G43" s="91"/>
      <c r="H43" s="91"/>
      <c r="I43" s="120">
        <v>0</v>
      </c>
      <c r="J43" s="120">
        <v>2</v>
      </c>
      <c r="K43" s="120">
        <v>0</v>
      </c>
      <c r="L43" s="120">
        <v>18</v>
      </c>
      <c r="M43" s="120">
        <v>32</v>
      </c>
      <c r="N43" s="120">
        <v>0</v>
      </c>
      <c r="O43" s="120">
        <v>0</v>
      </c>
      <c r="P43" s="91"/>
      <c r="Q43" s="312">
        <f>SUM(E43:P43)</f>
        <v>52</v>
      </c>
      <c r="R43" s="314">
        <v>6</v>
      </c>
      <c r="S43" s="241">
        <v>100</v>
      </c>
      <c r="T43" s="243">
        <f t="shared" ref="T43" si="27">SUM(S43-Q43)</f>
        <v>48</v>
      </c>
      <c r="U43" s="3"/>
      <c r="V43" s="74">
        <f>SUM(E43,F43)</f>
        <v>0</v>
      </c>
      <c r="W43" s="75">
        <f>SUM(G43,H43)</f>
        <v>0</v>
      </c>
      <c r="X43" s="76">
        <f>SUM(I43,J43)</f>
        <v>2</v>
      </c>
      <c r="Y43" s="75">
        <f>SUM(K43,L43,M43,)</f>
        <v>50</v>
      </c>
      <c r="Z43" s="77">
        <f>SUM(N43,O43,P43)</f>
        <v>0</v>
      </c>
      <c r="AK43" s="45" t="str">
        <f>IF(AK40=0, "", IF(MOD(AK40, $D$37) = 0, AK40/ $D$37, IF(INT(AK40 / $D$37) = 0, MOD(AK40, $D$37) &amp; " P", INT(AK40 / $D$37) &amp; " + " &amp; MOD(AK40, $D$37) &amp; " P")))</f>
        <v/>
      </c>
    </row>
    <row r="44" spans="2:37" ht="72.599999999999994" customHeight="1" thickBot="1">
      <c r="B44" s="119"/>
      <c r="C44" s="140" t="s">
        <v>117</v>
      </c>
      <c r="D44" s="369"/>
      <c r="E44" s="94" t="str">
        <f>IF(E43=0, "", IF(MOD(E43, $D$43) = 0, E43/ $D$43, IF(INT(E43 / $D$43) = 0, MOD(E43, $D$43) &amp; " P", INT(E43 / $D$43) &amp; " + " &amp; MOD(E43, $D$43) &amp; " P")))</f>
        <v/>
      </c>
      <c r="F44" s="94" t="str">
        <f t="shared" ref="F44:P44" si="28">IF(F43=0, "", IF(MOD(F43, $D$43) = 0, F43/ $D$43, IF(INT(F43 / $D$43) = 0, MOD(F43, $D$43) &amp; " P", INT(F43 / $D$43) &amp; " + " &amp; MOD(F43, $D$43) &amp; " P")))</f>
        <v/>
      </c>
      <c r="G44" s="94" t="str">
        <f t="shared" si="28"/>
        <v/>
      </c>
      <c r="H44" s="94" t="str">
        <f t="shared" si="28"/>
        <v/>
      </c>
      <c r="I44" s="123" t="str">
        <f t="shared" si="28"/>
        <v/>
      </c>
      <c r="J44" s="123" t="str">
        <f t="shared" si="28"/>
        <v>2 P</v>
      </c>
      <c r="K44" s="123" t="str">
        <f t="shared" si="28"/>
        <v/>
      </c>
      <c r="L44" s="123" t="str">
        <f t="shared" si="28"/>
        <v>1 + 3 P</v>
      </c>
      <c r="M44" s="123" t="str">
        <f t="shared" si="28"/>
        <v>2 + 2 P</v>
      </c>
      <c r="N44" s="123" t="str">
        <f t="shared" si="28"/>
        <v/>
      </c>
      <c r="O44" s="123" t="str">
        <f t="shared" si="28"/>
        <v/>
      </c>
      <c r="P44" s="94" t="str">
        <f t="shared" si="28"/>
        <v/>
      </c>
      <c r="Q44" s="313"/>
      <c r="R44" s="315"/>
      <c r="S44" s="242"/>
      <c r="T44" s="244"/>
      <c r="U44" s="3"/>
      <c r="V44" s="74"/>
      <c r="W44" s="79"/>
      <c r="X44" s="80"/>
      <c r="Y44" s="75"/>
      <c r="Z44" s="81"/>
    </row>
    <row r="45" spans="2:37" ht="73.5" customHeight="1" thickBot="1">
      <c r="B45" s="221" t="s">
        <v>81</v>
      </c>
      <c r="C45" s="222"/>
      <c r="D45" s="223"/>
      <c r="E45" s="65"/>
      <c r="F45" s="65"/>
      <c r="G45" s="65"/>
      <c r="H45" s="65"/>
      <c r="I45" s="143">
        <v>-19</v>
      </c>
      <c r="J45" s="143">
        <v>-20</v>
      </c>
      <c r="K45" s="143">
        <v>-9</v>
      </c>
      <c r="L45" s="143">
        <v>-32</v>
      </c>
      <c r="M45" s="143">
        <v>-58</v>
      </c>
      <c r="N45" s="143">
        <v>-16</v>
      </c>
      <c r="O45" s="143">
        <v>-18</v>
      </c>
      <c r="P45" s="65"/>
      <c r="Q45" s="66" t="s">
        <v>87</v>
      </c>
      <c r="R45" s="67">
        <f>SUM(R10:R44)</f>
        <v>172</v>
      </c>
      <c r="S45" s="63"/>
      <c r="T45" s="105"/>
      <c r="U45" s="3"/>
      <c r="V45" s="82"/>
      <c r="W45" s="83"/>
      <c r="X45" s="84"/>
      <c r="Y45" s="85"/>
      <c r="Z45" s="84"/>
    </row>
    <row r="46" spans="2:37" ht="13.2" customHeight="1" thickBot="1">
      <c r="B46" s="33"/>
      <c r="C46" s="33"/>
      <c r="D46" s="33"/>
      <c r="E46" s="32"/>
      <c r="F46" s="32"/>
      <c r="G46" s="32"/>
      <c r="H46" s="32"/>
      <c r="I46" s="32"/>
      <c r="J46" s="34"/>
      <c r="K46" s="35"/>
      <c r="L46" s="61"/>
      <c r="M46" s="62"/>
      <c r="O46" s="52"/>
      <c r="P46" s="52"/>
      <c r="Q46" s="52"/>
      <c r="R46" s="52"/>
      <c r="T46" s="31"/>
      <c r="U46" s="3"/>
      <c r="V46" s="3"/>
      <c r="W46" s="3"/>
      <c r="X46" s="3"/>
      <c r="Y46" s="3"/>
    </row>
    <row r="47" spans="2:37" ht="105" hidden="1" customHeight="1" thickBot="1"/>
    <row r="48" spans="2:37" ht="37.5" hidden="1" customHeight="1" thickBot="1"/>
    <row r="49" spans="2:20" ht="48.75" hidden="1" customHeight="1" thickBot="1"/>
    <row r="50" spans="2:20" s="3" customFormat="1" ht="64.95" customHeight="1" thickBot="1">
      <c r="B50" s="224" t="s">
        <v>49</v>
      </c>
      <c r="C50" s="225"/>
      <c r="D50" s="224" t="s">
        <v>53</v>
      </c>
      <c r="E50" s="225"/>
      <c r="F50" s="224" t="s">
        <v>54</v>
      </c>
      <c r="G50" s="225"/>
      <c r="H50" s="224" t="s">
        <v>71</v>
      </c>
      <c r="I50" s="225"/>
      <c r="M50" s="227" t="s">
        <v>88</v>
      </c>
      <c r="N50" s="227"/>
      <c r="O50" s="227"/>
      <c r="P50" s="227"/>
      <c r="Q50" s="308">
        <f>SUM(R45)</f>
        <v>172</v>
      </c>
      <c r="R50" s="230" t="s">
        <v>89</v>
      </c>
      <c r="T50" s="31"/>
    </row>
    <row r="51" spans="2:20" s="3" customFormat="1" ht="58.95" customHeight="1">
      <c r="B51" s="231" t="s">
        <v>72</v>
      </c>
      <c r="C51" s="232"/>
      <c r="D51" s="233"/>
      <c r="E51" s="234"/>
      <c r="F51" s="233"/>
      <c r="G51" s="234"/>
      <c r="H51" s="233"/>
      <c r="I51" s="234"/>
      <c r="M51" s="227"/>
      <c r="N51" s="227"/>
      <c r="O51" s="227"/>
      <c r="P51" s="227"/>
      <c r="Q51" s="309"/>
      <c r="R51" s="230"/>
      <c r="T51" s="31"/>
    </row>
    <row r="52" spans="2:20" s="3" customFormat="1" ht="58.95" customHeight="1" thickBot="1">
      <c r="B52" s="212" t="s">
        <v>74</v>
      </c>
      <c r="C52" s="213"/>
      <c r="D52" s="214"/>
      <c r="E52" s="215"/>
      <c r="F52" s="214"/>
      <c r="G52" s="215"/>
      <c r="H52" s="214"/>
      <c r="I52" s="215"/>
      <c r="M52" s="52"/>
      <c r="N52" s="306" t="s">
        <v>73</v>
      </c>
      <c r="O52" s="306"/>
      <c r="P52" s="306"/>
      <c r="Q52" s="306"/>
      <c r="R52" s="306"/>
      <c r="T52" s="31"/>
    </row>
    <row r="53" spans="2:20" s="3" customFormat="1" ht="58.95" customHeight="1" thickBot="1">
      <c r="B53" s="216" t="s">
        <v>76</v>
      </c>
      <c r="C53" s="217"/>
      <c r="D53" s="218"/>
      <c r="E53" s="219"/>
      <c r="F53" s="218"/>
      <c r="G53" s="219"/>
      <c r="H53" s="218"/>
      <c r="I53" s="219"/>
      <c r="K53" s="41" t="s">
        <v>77</v>
      </c>
      <c r="L53" s="68"/>
      <c r="M53" s="89"/>
      <c r="N53" s="90"/>
      <c r="O53" s="39" t="s">
        <v>75</v>
      </c>
      <c r="P53" s="39" t="s">
        <v>75</v>
      </c>
      <c r="Q53" s="39" t="s">
        <v>59</v>
      </c>
      <c r="R53" s="40"/>
      <c r="T53" s="31"/>
    </row>
    <row r="54" spans="2:20" s="3" customFormat="1" ht="64.2" customHeight="1" thickBot="1">
      <c r="D54" s="52"/>
      <c r="E54" s="41"/>
      <c r="F54" s="41"/>
      <c r="G54" s="69"/>
      <c r="H54" s="69"/>
      <c r="I54" s="41"/>
      <c r="K54" s="41"/>
      <c r="N54" s="41"/>
      <c r="O54" s="39"/>
      <c r="P54" s="39"/>
      <c r="Q54" s="39"/>
      <c r="R54" s="41"/>
      <c r="T54" s="31"/>
    </row>
  </sheetData>
  <mergeCells count="124">
    <mergeCell ref="L4:M4"/>
    <mergeCell ref="B10:D11"/>
    <mergeCell ref="E10:R11"/>
    <mergeCell ref="W11:AA11"/>
    <mergeCell ref="B12:C14"/>
    <mergeCell ref="D12:D14"/>
    <mergeCell ref="E12:F12"/>
    <mergeCell ref="G12:H12"/>
    <mergeCell ref="I12:J12"/>
    <mergeCell ref="K12:M12"/>
    <mergeCell ref="X12:X13"/>
    <mergeCell ref="Y12:Y13"/>
    <mergeCell ref="Z12:Z13"/>
    <mergeCell ref="E13:F13"/>
    <mergeCell ref="G13:H13"/>
    <mergeCell ref="I13:J13"/>
    <mergeCell ref="K13:M13"/>
    <mergeCell ref="N13:O13"/>
    <mergeCell ref="N12:O12"/>
    <mergeCell ref="Q12:R13"/>
    <mergeCell ref="S12:S14"/>
    <mergeCell ref="T12:T14"/>
    <mergeCell ref="V12:V13"/>
    <mergeCell ref="W12:W13"/>
    <mergeCell ref="B17:B18"/>
    <mergeCell ref="D17:D18"/>
    <mergeCell ref="Q17:Q18"/>
    <mergeCell ref="R17:R18"/>
    <mergeCell ref="S17:S18"/>
    <mergeCell ref="T17:T18"/>
    <mergeCell ref="B15:B16"/>
    <mergeCell ref="D15:D16"/>
    <mergeCell ref="Q15:Q16"/>
    <mergeCell ref="R15:R16"/>
    <mergeCell ref="S15:S16"/>
    <mergeCell ref="T15:T16"/>
    <mergeCell ref="B21:B22"/>
    <mergeCell ref="D21:D22"/>
    <mergeCell ref="Q21:Q22"/>
    <mergeCell ref="R21:R22"/>
    <mergeCell ref="S21:S22"/>
    <mergeCell ref="T21:T22"/>
    <mergeCell ref="B19:B20"/>
    <mergeCell ref="D19:D20"/>
    <mergeCell ref="Q19:Q20"/>
    <mergeCell ref="R19:R20"/>
    <mergeCell ref="S19:S20"/>
    <mergeCell ref="T19:T20"/>
    <mergeCell ref="D23:D24"/>
    <mergeCell ref="Q23:Q24"/>
    <mergeCell ref="R23:R24"/>
    <mergeCell ref="S23:S24"/>
    <mergeCell ref="T23:T24"/>
    <mergeCell ref="D25:D26"/>
    <mergeCell ref="Q25:Q26"/>
    <mergeCell ref="R25:R26"/>
    <mergeCell ref="S25:S26"/>
    <mergeCell ref="T25:T26"/>
    <mergeCell ref="D27:D28"/>
    <mergeCell ref="Q27:Q28"/>
    <mergeCell ref="R27:R28"/>
    <mergeCell ref="S27:S28"/>
    <mergeCell ref="T27:T28"/>
    <mergeCell ref="D29:D30"/>
    <mergeCell ref="Q29:Q30"/>
    <mergeCell ref="R29:R30"/>
    <mergeCell ref="S29:S30"/>
    <mergeCell ref="T29:T30"/>
    <mergeCell ref="D31:D32"/>
    <mergeCell ref="Q31:Q32"/>
    <mergeCell ref="R31:R32"/>
    <mergeCell ref="S31:S32"/>
    <mergeCell ref="T31:T32"/>
    <mergeCell ref="D33:D34"/>
    <mergeCell ref="Q33:Q34"/>
    <mergeCell ref="R33:R34"/>
    <mergeCell ref="S33:S34"/>
    <mergeCell ref="T33:T34"/>
    <mergeCell ref="D35:D36"/>
    <mergeCell ref="Q35:Q36"/>
    <mergeCell ref="R35:R36"/>
    <mergeCell ref="S35:S36"/>
    <mergeCell ref="T35:T36"/>
    <mergeCell ref="D37:D38"/>
    <mergeCell ref="Q37:Q38"/>
    <mergeCell ref="R37:R38"/>
    <mergeCell ref="S37:S38"/>
    <mergeCell ref="T37:T38"/>
    <mergeCell ref="D43:D44"/>
    <mergeCell ref="Q43:Q44"/>
    <mergeCell ref="R43:R44"/>
    <mergeCell ref="S43:S44"/>
    <mergeCell ref="T43:T44"/>
    <mergeCell ref="B45:D45"/>
    <mergeCell ref="D39:D40"/>
    <mergeCell ref="Q39:Q40"/>
    <mergeCell ref="R39:R40"/>
    <mergeCell ref="S39:S40"/>
    <mergeCell ref="T39:T40"/>
    <mergeCell ref="D41:D42"/>
    <mergeCell ref="Q41:Q42"/>
    <mergeCell ref="R41:R42"/>
    <mergeCell ref="S41:S42"/>
    <mergeCell ref="T41:T42"/>
    <mergeCell ref="B53:C53"/>
    <mergeCell ref="D53:E53"/>
    <mergeCell ref="F53:G53"/>
    <mergeCell ref="H53:I53"/>
    <mergeCell ref="R50:R51"/>
    <mergeCell ref="B51:C51"/>
    <mergeCell ref="D51:E51"/>
    <mergeCell ref="F51:G51"/>
    <mergeCell ref="H51:I51"/>
    <mergeCell ref="B52:C52"/>
    <mergeCell ref="D52:E52"/>
    <mergeCell ref="F52:G52"/>
    <mergeCell ref="H52:I52"/>
    <mergeCell ref="N52:R52"/>
    <mergeCell ref="B50:C50"/>
    <mergeCell ref="D50:E50"/>
    <mergeCell ref="F50:G50"/>
    <mergeCell ref="H50:I50"/>
    <mergeCell ref="M50:P51"/>
    <mergeCell ref="Q50:Q51"/>
  </mergeCells>
  <printOptions horizontalCentered="1"/>
  <pageMargins left="0" right="0" top="0.15748031496062992" bottom="0" header="0" footer="0"/>
  <pageSetup paperSize="9" scale="1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W50"/>
  <sheetViews>
    <sheetView topLeftCell="A10" zoomScale="80" zoomScaleNormal="80" workbookViewId="0">
      <selection activeCell="C21" sqref="C21"/>
    </sheetView>
  </sheetViews>
  <sheetFormatPr defaultColWidth="8.88671875" defaultRowHeight="15" customHeight="1"/>
  <cols>
    <col min="1" max="1" width="51.6640625" style="3" customWidth="1"/>
    <col min="2" max="2" width="9.109375" style="3" customWidth="1"/>
    <col min="3" max="3" width="11.5546875" style="3" customWidth="1"/>
    <col min="4" max="14" width="6.6640625" style="3" customWidth="1"/>
    <col min="15" max="15" width="10.21875" style="3" customWidth="1"/>
    <col min="16" max="16" width="17.21875" style="3" customWidth="1"/>
    <col min="17" max="17" width="14.21875" style="3" customWidth="1"/>
    <col min="18" max="18" width="10.6640625" style="3" customWidth="1"/>
    <col min="19" max="19" width="15.6640625" style="3" customWidth="1"/>
    <col min="20" max="49" width="3.6640625" style="3" hidden="1" customWidth="1"/>
    <col min="50" max="16384" width="8.88671875" style="3"/>
  </cols>
  <sheetData>
    <row r="1" spans="1:49" ht="49.95" customHeight="1">
      <c r="A1" s="3" t="e" vm="1">
        <v>#VALUE!</v>
      </c>
      <c r="B1" s="395" t="s">
        <v>67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Q1" s="396" t="s">
        <v>18</v>
      </c>
      <c r="R1" s="396"/>
      <c r="S1" s="396"/>
    </row>
    <row r="2" spans="1:49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4"/>
      <c r="R2" s="4"/>
      <c r="S2" s="4"/>
    </row>
    <row r="3" spans="1:49" ht="15" customHeight="1">
      <c r="A3" s="11"/>
      <c r="B3" s="1"/>
      <c r="C3" s="1"/>
      <c r="D3" s="12"/>
      <c r="Q3" s="396" t="s">
        <v>17</v>
      </c>
      <c r="R3" s="396"/>
      <c r="S3" s="396"/>
    </row>
    <row r="4" spans="1:49" ht="25.2" customHeight="1">
      <c r="A4" s="5" t="s">
        <v>24</v>
      </c>
      <c r="B4" s="1"/>
      <c r="C4" s="1"/>
      <c r="Q4" s="396"/>
      <c r="R4" s="396"/>
      <c r="S4" s="396"/>
    </row>
    <row r="5" spans="1:49" ht="4.95" customHeight="1">
      <c r="A5" s="5"/>
      <c r="B5" s="1"/>
      <c r="C5" s="1"/>
      <c r="Q5" s="4"/>
      <c r="R5" s="4"/>
      <c r="S5" s="4"/>
    </row>
    <row r="6" spans="1:49" ht="25.2" customHeight="1">
      <c r="A6" s="397" t="s">
        <v>21</v>
      </c>
      <c r="B6" s="397"/>
      <c r="C6" s="398" t="s">
        <v>22</v>
      </c>
      <c r="D6" s="398"/>
      <c r="E6" s="398"/>
      <c r="F6" s="398"/>
      <c r="G6" s="398"/>
      <c r="H6" s="398"/>
      <c r="I6" s="398"/>
      <c r="J6" s="398"/>
      <c r="K6" s="398"/>
      <c r="L6" s="398"/>
      <c r="M6" s="398"/>
      <c r="N6" s="398"/>
      <c r="O6" s="398"/>
      <c r="P6" s="398"/>
      <c r="Q6" s="398"/>
      <c r="R6" s="398"/>
      <c r="S6" s="398"/>
    </row>
    <row r="7" spans="1:49" ht="19.95" customHeight="1">
      <c r="A7" s="397"/>
      <c r="B7" s="397"/>
      <c r="C7" s="393" t="s">
        <v>33</v>
      </c>
      <c r="D7" s="374" t="s">
        <v>34</v>
      </c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6"/>
    </row>
    <row r="8" spans="1:49" ht="15" customHeight="1">
      <c r="A8" s="397"/>
      <c r="B8" s="397"/>
      <c r="C8" s="394"/>
      <c r="D8" s="379" t="s">
        <v>0</v>
      </c>
      <c r="E8" s="379" t="s">
        <v>1</v>
      </c>
      <c r="F8" s="379" t="s">
        <v>25</v>
      </c>
      <c r="G8" s="379" t="s">
        <v>26</v>
      </c>
      <c r="H8" s="379" t="s">
        <v>27</v>
      </c>
      <c r="I8" s="379" t="s">
        <v>28</v>
      </c>
      <c r="J8" s="379" t="s">
        <v>29</v>
      </c>
      <c r="K8" s="379" t="s">
        <v>30</v>
      </c>
      <c r="L8" s="379" t="s">
        <v>31</v>
      </c>
      <c r="M8" s="379" t="s">
        <v>32</v>
      </c>
      <c r="N8" s="379" t="s">
        <v>91</v>
      </c>
      <c r="O8" s="379" t="s">
        <v>92</v>
      </c>
      <c r="P8" s="13"/>
      <c r="Q8" s="379" t="s">
        <v>35</v>
      </c>
      <c r="R8" s="379" t="s">
        <v>36</v>
      </c>
      <c r="S8" s="379" t="s">
        <v>37</v>
      </c>
      <c r="T8" s="390" t="s">
        <v>4</v>
      </c>
      <c r="U8" s="390"/>
      <c r="V8" s="390"/>
      <c r="W8" s="390" t="s">
        <v>5</v>
      </c>
      <c r="X8" s="390"/>
      <c r="Y8" s="390"/>
      <c r="Z8" s="390" t="s">
        <v>7</v>
      </c>
      <c r="AA8" s="390"/>
      <c r="AB8" s="390"/>
      <c r="AC8" s="390" t="s">
        <v>8</v>
      </c>
      <c r="AD8" s="390"/>
      <c r="AE8" s="390"/>
      <c r="AF8" s="390" t="s">
        <v>9</v>
      </c>
      <c r="AG8" s="390"/>
      <c r="AH8" s="390"/>
      <c r="AI8" s="390" t="s">
        <v>10</v>
      </c>
      <c r="AJ8" s="390"/>
      <c r="AK8" s="390"/>
      <c r="AL8" s="390" t="s">
        <v>11</v>
      </c>
      <c r="AM8" s="390"/>
      <c r="AN8" s="390"/>
      <c r="AO8" s="390" t="s">
        <v>12</v>
      </c>
      <c r="AP8" s="390"/>
      <c r="AQ8" s="390"/>
      <c r="AR8" s="390" t="s">
        <v>13</v>
      </c>
      <c r="AS8" s="390"/>
      <c r="AT8" s="390"/>
      <c r="AU8" s="390" t="s">
        <v>14</v>
      </c>
      <c r="AV8" s="390"/>
      <c r="AW8" s="390"/>
    </row>
    <row r="9" spans="1:49" ht="25.2" customHeight="1">
      <c r="A9" s="43" t="s">
        <v>38</v>
      </c>
      <c r="B9" s="54" t="s">
        <v>39</v>
      </c>
      <c r="C9" s="394"/>
      <c r="D9" s="381"/>
      <c r="E9" s="381"/>
      <c r="F9" s="381"/>
      <c r="G9" s="381"/>
      <c r="H9" s="381"/>
      <c r="I9" s="381"/>
      <c r="J9" s="381"/>
      <c r="K9" s="381"/>
      <c r="L9" s="381"/>
      <c r="M9" s="381"/>
      <c r="N9" s="381"/>
      <c r="O9" s="381"/>
      <c r="P9" s="13" t="s">
        <v>3</v>
      </c>
      <c r="Q9" s="380"/>
      <c r="R9" s="380"/>
      <c r="S9" s="380"/>
      <c r="T9" s="2" t="s">
        <v>2</v>
      </c>
      <c r="U9" s="6" t="s">
        <v>6</v>
      </c>
      <c r="V9" s="7" t="s">
        <v>23</v>
      </c>
      <c r="W9" s="2" t="s">
        <v>2</v>
      </c>
      <c r="X9" s="6" t="s">
        <v>6</v>
      </c>
      <c r="Y9" s="7" t="s">
        <v>23</v>
      </c>
      <c r="Z9" s="2" t="s">
        <v>2</v>
      </c>
      <c r="AA9" s="6" t="s">
        <v>6</v>
      </c>
      <c r="AB9" s="7" t="s">
        <v>23</v>
      </c>
      <c r="AC9" s="2" t="s">
        <v>2</v>
      </c>
      <c r="AD9" s="6" t="s">
        <v>6</v>
      </c>
      <c r="AE9" s="7" t="s">
        <v>23</v>
      </c>
      <c r="AF9" s="2" t="s">
        <v>2</v>
      </c>
      <c r="AG9" s="6" t="s">
        <v>6</v>
      </c>
      <c r="AH9" s="7" t="s">
        <v>23</v>
      </c>
      <c r="AI9" s="2" t="s">
        <v>2</v>
      </c>
      <c r="AJ9" s="6" t="s">
        <v>6</v>
      </c>
      <c r="AK9" s="7" t="s">
        <v>23</v>
      </c>
      <c r="AL9" s="2" t="s">
        <v>2</v>
      </c>
      <c r="AM9" s="6" t="s">
        <v>6</v>
      </c>
      <c r="AN9" s="7" t="s">
        <v>23</v>
      </c>
      <c r="AO9" s="2" t="s">
        <v>2</v>
      </c>
      <c r="AP9" s="6" t="s">
        <v>6</v>
      </c>
      <c r="AQ9" s="7" t="s">
        <v>23</v>
      </c>
      <c r="AR9" s="2" t="s">
        <v>2</v>
      </c>
      <c r="AS9" s="6" t="s">
        <v>6</v>
      </c>
      <c r="AT9" s="7" t="s">
        <v>23</v>
      </c>
      <c r="AU9" s="2" t="s">
        <v>2</v>
      </c>
      <c r="AV9" s="6" t="s">
        <v>6</v>
      </c>
      <c r="AW9" s="7" t="s">
        <v>23</v>
      </c>
    </row>
    <row r="10" spans="1:49" ht="22.95" customHeight="1">
      <c r="A10" s="16" t="str">
        <f>'[1]บางบัวทอง-ผลิต'!C12</f>
        <v>องุ่นดำไร้เมล็ด 150 กรัม x36P</v>
      </c>
      <c r="B10" s="14">
        <v>36</v>
      </c>
      <c r="C10" s="14" cm="1">
        <f t="array" ref="C10">SUMPRODUCT(ROUNDUP(D10:O10/B10, 0))</f>
        <v>0</v>
      </c>
      <c r="D10" s="147">
        <f>'บางบัวทอง-ผลิต'!E15</f>
        <v>0</v>
      </c>
      <c r="E10" s="147">
        <f>'บางบัวทอง-ผลิต'!F15</f>
        <v>0</v>
      </c>
      <c r="F10" s="147">
        <f>'บางบัวทอง-ผลิต'!G15</f>
        <v>0</v>
      </c>
      <c r="G10" s="147">
        <f>'บางบัวทอง-ผลิต'!H15</f>
        <v>0</v>
      </c>
      <c r="H10" s="147">
        <f>'บางบัวทอง-ผลิต'!I15</f>
        <v>0</v>
      </c>
      <c r="I10" s="147">
        <f>'บางบัวทอง-ผลิต'!J15</f>
        <v>0</v>
      </c>
      <c r="J10" s="147">
        <f>'บางบัวทอง-ผลิต'!K15</f>
        <v>0</v>
      </c>
      <c r="K10" s="147">
        <f>'บางบัวทอง-ผลิต'!L15</f>
        <v>0</v>
      </c>
      <c r="L10" s="147">
        <f>'บางบัวทอง-ผลิต'!M15</f>
        <v>0</v>
      </c>
      <c r="M10" s="147">
        <f>'บางบัวทอง-ผลิต'!N15</f>
        <v>0</v>
      </c>
      <c r="N10" s="147">
        <f>'บางบัวทอง-ผลิต'!O15</f>
        <v>0</v>
      </c>
      <c r="O10" s="147">
        <f>'บางบัวทอง-ผลิต'!P15</f>
        <v>0</v>
      </c>
      <c r="P10" s="64" t="e">
        <f>'บางบัวทอง-ผลิต'!#REF!</f>
        <v>#REF!</v>
      </c>
      <c r="Q10" s="14"/>
      <c r="R10" s="14"/>
      <c r="S10" s="14"/>
      <c r="T10" s="8">
        <f t="shared" ref="T10:T14" si="0">INT(D10/B10)</f>
        <v>0</v>
      </c>
      <c r="U10" s="9">
        <f t="shared" ref="U10:U14" si="1">IF(MOD(D10,B10)/B10&gt;0.5,1,0)</f>
        <v>0</v>
      </c>
      <c r="V10" s="10">
        <f t="shared" ref="V10:V14" si="2">IF(AND(MOD(D10,B10)/B10&lt;=0.5,MOD(D10,B10)&lt;&gt;0),1,0)</f>
        <v>0</v>
      </c>
      <c r="W10" s="8">
        <f>INT(E10/B10)</f>
        <v>0</v>
      </c>
      <c r="X10" s="9">
        <f>IF(MOD(E10,B10)/B10&gt;0.5,1,0)</f>
        <v>0</v>
      </c>
      <c r="Y10" s="10">
        <f>IF(AND(MOD(E10,B10)/B10&lt;=0.5,MOD(E10,B10)&lt;&gt;0),1,0)</f>
        <v>0</v>
      </c>
      <c r="Z10" s="8">
        <f t="shared" ref="Z10:Z14" si="3">INT(F10/B10)</f>
        <v>0</v>
      </c>
      <c r="AA10" s="9">
        <f t="shared" ref="AA10:AA14" si="4">IF(MOD(F10,B10)/B10&gt;0.5,1,0)</f>
        <v>0</v>
      </c>
      <c r="AB10" s="10">
        <f t="shared" ref="AB10:AB14" si="5">IF(AND(MOD(F10,B10)/B10&lt;=0.5,MOD(F10,B10)&lt;&gt;0),1,0)</f>
        <v>0</v>
      </c>
      <c r="AC10" s="8">
        <f>INT(G10/B10)</f>
        <v>0</v>
      </c>
      <c r="AD10" s="9">
        <f>IF(MOD(G10,B10)/B10&gt;0.5,1,0)</f>
        <v>0</v>
      </c>
      <c r="AE10" s="10">
        <f>IF(AND(MOD(G10,B10)/B10&lt;=0.5,MOD(G10,B10)&lt;&gt;0),1,0)</f>
        <v>0</v>
      </c>
      <c r="AF10" s="8">
        <f>INT(H10/B10)</f>
        <v>0</v>
      </c>
      <c r="AG10" s="9">
        <f>IF(MOD(H10,B10)/B10&gt;0.5,1,0)</f>
        <v>0</v>
      </c>
      <c r="AH10" s="10">
        <f>IF(AND(MOD(H10,B10)/B10&lt;=0.5,MOD(H10,B10)&lt;&gt;0),1,0)</f>
        <v>0</v>
      </c>
      <c r="AI10" s="8">
        <f>INT(I10/B10)</f>
        <v>0</v>
      </c>
      <c r="AJ10" s="9">
        <f>IF(MOD(I10,B10)/B10&gt;0.5,1,0)</f>
        <v>0</v>
      </c>
      <c r="AK10" s="10">
        <f>IF(AND(MOD(I10,B10)/B10&lt;=0.5,MOD(I10,B10)&lt;&gt;0),1,0)</f>
        <v>0</v>
      </c>
      <c r="AL10" s="8">
        <f>INT(J10/B10)</f>
        <v>0</v>
      </c>
      <c r="AM10" s="9">
        <f>IF(MOD(J10,B10)/B10&gt;0.5,1,0)</f>
        <v>0</v>
      </c>
      <c r="AN10" s="10">
        <f>IF(AND(MOD(J10,B10)/B10&lt;=0.5,MOD(J10,B10)&lt;&gt;0),1,0)</f>
        <v>0</v>
      </c>
      <c r="AO10" s="8">
        <f>INT(K10/B10)</f>
        <v>0</v>
      </c>
      <c r="AP10" s="9">
        <f>IF(MOD(K10,B10)/B10&gt;0.5,1,0)</f>
        <v>0</v>
      </c>
      <c r="AQ10" s="10">
        <f>IF(AND(MOD(K10,B10)/B10&lt;=0.5,MOD(K10,B10)&lt;&gt;0),1,0)</f>
        <v>0</v>
      </c>
      <c r="AR10" s="8">
        <f>INT(L10/B10)</f>
        <v>0</v>
      </c>
      <c r="AS10" s="9">
        <f>IF(MOD(L10,B10)/B10&gt;0.5,1,0)</f>
        <v>0</v>
      </c>
      <c r="AT10" s="10">
        <f>IF(AND(MOD(L10,B10)/B10&lt;=0.5,MOD(L10,B10)&lt;&gt;0),1,0)</f>
        <v>0</v>
      </c>
      <c r="AU10" s="8">
        <f>INT(O10/B10)</f>
        <v>0</v>
      </c>
      <c r="AV10" s="9">
        <f>IF(MOD(O10,B10)/B10&gt;0.5,1,0)</f>
        <v>0</v>
      </c>
      <c r="AW10" s="10">
        <f>IF(AND(MOD(O10,B10)/B10&lt;=0.5,MOD(O10,B10)&lt;&gt;0),1,0)</f>
        <v>0</v>
      </c>
    </row>
    <row r="11" spans="1:49" ht="22.95" customHeight="1">
      <c r="A11" s="16" t="str">
        <f>'[1]บางบัวทอง-ผลิต'!C14</f>
        <v>องุ่นแดงนอกมีเมล็ด 200 กรัม x 32 P</v>
      </c>
      <c r="B11" s="14">
        <v>32</v>
      </c>
      <c r="C11" s="14" cm="1">
        <f t="array" ref="C11">SUMPRODUCT(ROUNDUP(D11:O11/B11, 0))</f>
        <v>0</v>
      </c>
      <c r="D11" s="147">
        <f>'บางบัวทอง-ผลิต'!E17</f>
        <v>0</v>
      </c>
      <c r="E11" s="147">
        <f>'บางบัวทอง-ผลิต'!F17</f>
        <v>0</v>
      </c>
      <c r="F11" s="147">
        <f>'บางบัวทอง-ผลิต'!G17</f>
        <v>0</v>
      </c>
      <c r="G11" s="147">
        <f>'บางบัวทอง-ผลิต'!H17</f>
        <v>0</v>
      </c>
      <c r="H11" s="147">
        <f>'บางบัวทอง-ผลิต'!I17</f>
        <v>0</v>
      </c>
      <c r="I11" s="147">
        <f>'บางบัวทอง-ผลิต'!J17</f>
        <v>0</v>
      </c>
      <c r="J11" s="147">
        <f>'บางบัวทอง-ผลิต'!K17</f>
        <v>0</v>
      </c>
      <c r="K11" s="147">
        <f>'บางบัวทอง-ผลิต'!L17</f>
        <v>0</v>
      </c>
      <c r="L11" s="147">
        <f>'บางบัวทอง-ผลิต'!M17</f>
        <v>0</v>
      </c>
      <c r="M11" s="147">
        <f>'บางบัวทอง-ผลิต'!N17</f>
        <v>0</v>
      </c>
      <c r="N11" s="147">
        <f>'บางบัวทอง-ผลิต'!O17</f>
        <v>0</v>
      </c>
      <c r="O11" s="147">
        <f>'บางบัวทอง-ผลิต'!P17</f>
        <v>0</v>
      </c>
      <c r="P11" s="64" t="str">
        <f t="shared" ref="P11:P14" si="6">INT(SUM(D11:O11)/B11) &amp; " full, " &amp; IF(MOD(SUM(D11:O11), B11)/B11 &lt;= 0.5, "1 less than half", IF(MOD(SUM(D11:O11), B11)/B11 &gt; 0.5, "1 more than half", ""))</f>
        <v>0 full, 1 less than half</v>
      </c>
      <c r="Q11" s="14"/>
      <c r="R11" s="14"/>
      <c r="S11" s="14"/>
      <c r="T11" s="8">
        <f t="shared" si="0"/>
        <v>0</v>
      </c>
      <c r="U11" s="9">
        <f t="shared" si="1"/>
        <v>0</v>
      </c>
      <c r="V11" s="10">
        <f t="shared" si="2"/>
        <v>0</v>
      </c>
      <c r="W11" s="8">
        <f t="shared" ref="W11:W14" si="7">INT(E11/B11)</f>
        <v>0</v>
      </c>
      <c r="X11" s="9">
        <f t="shared" ref="X11:X14" si="8">IF(MOD(E11,B11)/B11&gt;0.5,1,0)</f>
        <v>0</v>
      </c>
      <c r="Y11" s="10">
        <f t="shared" ref="Y11:Y14" si="9">IF(AND(MOD(E11,B11)/B11&lt;=0.5,MOD(E11,B11)&lt;&gt;0),1,0)</f>
        <v>0</v>
      </c>
      <c r="Z11" s="8">
        <f t="shared" si="3"/>
        <v>0</v>
      </c>
      <c r="AA11" s="9">
        <f t="shared" si="4"/>
        <v>0</v>
      </c>
      <c r="AB11" s="10">
        <f t="shared" si="5"/>
        <v>0</v>
      </c>
      <c r="AC11" s="8">
        <f t="shared" ref="AC11:AC14" si="10">INT(G11/B11)</f>
        <v>0</v>
      </c>
      <c r="AD11" s="9">
        <f t="shared" ref="AD11:AD14" si="11">IF(MOD(G11,B11)/B11&gt;0.5,1,0)</f>
        <v>0</v>
      </c>
      <c r="AE11" s="10">
        <f t="shared" ref="AE11:AE14" si="12">IF(AND(MOD(G11,B11)/B11&lt;=0.5,MOD(G11,B11)&lt;&gt;0),1,0)</f>
        <v>0</v>
      </c>
      <c r="AF11" s="8">
        <f t="shared" ref="AF11:AF14" si="13">INT(H11/B11)</f>
        <v>0</v>
      </c>
      <c r="AG11" s="9">
        <f t="shared" ref="AG11:AG14" si="14">IF(MOD(H11,B11)/B11&gt;0.5,1,0)</f>
        <v>0</v>
      </c>
      <c r="AH11" s="10">
        <f t="shared" ref="AH11:AH14" si="15">IF(AND(MOD(H11,B11)/B11&lt;=0.5,MOD(H11,B11)&lt;&gt;0),1,0)</f>
        <v>0</v>
      </c>
      <c r="AI11" s="8">
        <f t="shared" ref="AI11:AI14" si="16">INT(I11/B11)</f>
        <v>0</v>
      </c>
      <c r="AJ11" s="9">
        <f t="shared" ref="AJ11:AJ14" si="17">IF(MOD(I11,B11)/B11&gt;0.5,1,0)</f>
        <v>0</v>
      </c>
      <c r="AK11" s="10">
        <f t="shared" ref="AK11:AK14" si="18">IF(AND(MOD(I11,B11)/B11&lt;=0.5,MOD(I11,B11)&lt;&gt;0),1,0)</f>
        <v>0</v>
      </c>
      <c r="AL11" s="8">
        <f t="shared" ref="AL11:AL14" si="19">INT(J11/B11)</f>
        <v>0</v>
      </c>
      <c r="AM11" s="9">
        <f t="shared" ref="AM11:AM14" si="20">IF(MOD(J11,B11)/B11&gt;0.5,1,0)</f>
        <v>0</v>
      </c>
      <c r="AN11" s="10">
        <f t="shared" ref="AN11:AN14" si="21">IF(AND(MOD(J11,B11)/B11&lt;=0.5,MOD(J11,B11)&lt;&gt;0),1,0)</f>
        <v>0</v>
      </c>
      <c r="AO11" s="8">
        <f t="shared" ref="AO11:AO14" si="22">INT(K11/B11)</f>
        <v>0</v>
      </c>
      <c r="AP11" s="9">
        <f t="shared" ref="AP11:AP14" si="23">IF(MOD(K11,B11)/B11&gt;0.5,1,0)</f>
        <v>0</v>
      </c>
      <c r="AQ11" s="10">
        <f t="shared" ref="AQ11:AQ14" si="24">IF(AND(MOD(K11,B11)/B11&lt;=0.5,MOD(K11,B11)&lt;&gt;0),1,0)</f>
        <v>0</v>
      </c>
      <c r="AR11" s="8">
        <f t="shared" ref="AR11:AR14" si="25">INT(L11/B11)</f>
        <v>0</v>
      </c>
      <c r="AS11" s="9">
        <f t="shared" ref="AS11:AS14" si="26">IF(MOD(L11,B11)/B11&gt;0.5,1,0)</f>
        <v>0</v>
      </c>
      <c r="AT11" s="10">
        <f t="shared" ref="AT11:AT14" si="27">IF(AND(MOD(L11,B11)/B11&lt;=0.5,MOD(L11,B11)&lt;&gt;0),1,0)</f>
        <v>0</v>
      </c>
      <c r="AU11" s="8">
        <f t="shared" ref="AU11:AU14" si="28">INT(O11/B11)</f>
        <v>0</v>
      </c>
      <c r="AV11" s="9">
        <f t="shared" ref="AV11:AV14" si="29">IF(MOD(O11,B11)/B11&gt;0.5,1,0)</f>
        <v>0</v>
      </c>
      <c r="AW11" s="10">
        <f t="shared" ref="AW11:AW14" si="30">IF(AND(MOD(O11,B11)/B11&lt;=0.5,MOD(O11,B11)&lt;&gt;0),1,0)</f>
        <v>0</v>
      </c>
    </row>
    <row r="12" spans="1:49" ht="22.95" customHeight="1">
      <c r="A12" s="148" t="s">
        <v>141</v>
      </c>
      <c r="B12" s="14">
        <v>14</v>
      </c>
      <c r="C12" s="14" cm="1">
        <f t="array" ref="C12">SUMPRODUCT(ROUNDUP(D12:O12/B12, 0))</f>
        <v>0</v>
      </c>
      <c r="D12" s="147">
        <f>'บางบัวทอง-ผลิต'!E19</f>
        <v>0</v>
      </c>
      <c r="E12" s="147">
        <f>'บางบัวทอง-ผลิต'!F19</f>
        <v>0</v>
      </c>
      <c r="F12" s="147">
        <f>'บางบัวทอง-ผลิต'!G19</f>
        <v>0</v>
      </c>
      <c r="G12" s="147">
        <f>'บางบัวทอง-ผลิต'!H19</f>
        <v>0</v>
      </c>
      <c r="H12" s="147">
        <f>'บางบัวทอง-ผลิต'!I19</f>
        <v>0</v>
      </c>
      <c r="I12" s="147">
        <f>'บางบัวทอง-ผลิต'!J19</f>
        <v>0</v>
      </c>
      <c r="J12" s="147">
        <f>'บางบัวทอง-ผลิต'!K19</f>
        <v>0</v>
      </c>
      <c r="K12" s="147">
        <f>'บางบัวทอง-ผลิต'!L19</f>
        <v>0</v>
      </c>
      <c r="L12" s="147">
        <f>'บางบัวทอง-ผลิต'!M19</f>
        <v>0</v>
      </c>
      <c r="M12" s="147">
        <f>'บางบัวทอง-ผลิต'!N19</f>
        <v>0</v>
      </c>
      <c r="N12" s="147">
        <f>'บางบัวทอง-ผลิต'!O19</f>
        <v>0</v>
      </c>
      <c r="O12" s="147">
        <f>'บางบัวทอง-ผลิต'!P19</f>
        <v>0</v>
      </c>
      <c r="P12" s="64" t="str">
        <f t="shared" si="6"/>
        <v>0 full, 1 less than half</v>
      </c>
      <c r="Q12" s="14"/>
      <c r="R12" s="14"/>
      <c r="S12" s="14"/>
      <c r="T12" s="8">
        <f t="shared" si="0"/>
        <v>0</v>
      </c>
      <c r="U12" s="9">
        <f t="shared" si="1"/>
        <v>0</v>
      </c>
      <c r="V12" s="10">
        <f t="shared" si="2"/>
        <v>0</v>
      </c>
      <c r="W12" s="8">
        <f t="shared" si="7"/>
        <v>0</v>
      </c>
      <c r="X12" s="9">
        <f t="shared" si="8"/>
        <v>0</v>
      </c>
      <c r="Y12" s="10">
        <f t="shared" si="9"/>
        <v>0</v>
      </c>
      <c r="Z12" s="8">
        <f t="shared" si="3"/>
        <v>0</v>
      </c>
      <c r="AA12" s="9">
        <f t="shared" si="4"/>
        <v>0</v>
      </c>
      <c r="AB12" s="10">
        <f t="shared" si="5"/>
        <v>0</v>
      </c>
      <c r="AC12" s="8">
        <f t="shared" si="10"/>
        <v>0</v>
      </c>
      <c r="AD12" s="9">
        <f t="shared" si="11"/>
        <v>0</v>
      </c>
      <c r="AE12" s="10">
        <f t="shared" si="12"/>
        <v>0</v>
      </c>
      <c r="AF12" s="8">
        <f t="shared" si="13"/>
        <v>0</v>
      </c>
      <c r="AG12" s="9">
        <f t="shared" si="14"/>
        <v>0</v>
      </c>
      <c r="AH12" s="10">
        <f t="shared" si="15"/>
        <v>0</v>
      </c>
      <c r="AI12" s="8">
        <f t="shared" si="16"/>
        <v>0</v>
      </c>
      <c r="AJ12" s="9">
        <f t="shared" si="17"/>
        <v>0</v>
      </c>
      <c r="AK12" s="10">
        <f t="shared" si="18"/>
        <v>0</v>
      </c>
      <c r="AL12" s="8">
        <f t="shared" si="19"/>
        <v>0</v>
      </c>
      <c r="AM12" s="9">
        <f t="shared" si="20"/>
        <v>0</v>
      </c>
      <c r="AN12" s="10">
        <f t="shared" si="21"/>
        <v>0</v>
      </c>
      <c r="AO12" s="8">
        <f t="shared" si="22"/>
        <v>0</v>
      </c>
      <c r="AP12" s="9">
        <f t="shared" si="23"/>
        <v>0</v>
      </c>
      <c r="AQ12" s="10">
        <f t="shared" si="24"/>
        <v>0</v>
      </c>
      <c r="AR12" s="8">
        <f t="shared" si="25"/>
        <v>0</v>
      </c>
      <c r="AS12" s="9">
        <f t="shared" si="26"/>
        <v>0</v>
      </c>
      <c r="AT12" s="10">
        <f t="shared" si="27"/>
        <v>0</v>
      </c>
      <c r="AU12" s="8">
        <f t="shared" si="28"/>
        <v>0</v>
      </c>
      <c r="AV12" s="9">
        <f t="shared" si="29"/>
        <v>0</v>
      </c>
      <c r="AW12" s="10">
        <f t="shared" si="30"/>
        <v>0</v>
      </c>
    </row>
    <row r="13" spans="1:49" ht="22.95" customHeight="1">
      <c r="A13" s="148" t="s">
        <v>140</v>
      </c>
      <c r="B13" s="14">
        <v>14</v>
      </c>
      <c r="C13" s="14" cm="1">
        <f t="array" ref="C13">SUMPRODUCT(ROUNDUP(D13:O13/B13, 0))</f>
        <v>0</v>
      </c>
      <c r="D13" s="147">
        <f>'บางบัวทอง-ผลิต'!E21</f>
        <v>0</v>
      </c>
      <c r="E13" s="147">
        <f>'บางบัวทอง-ผลิต'!F21</f>
        <v>0</v>
      </c>
      <c r="F13" s="147">
        <f>'บางบัวทอง-ผลิต'!G21</f>
        <v>0</v>
      </c>
      <c r="G13" s="147">
        <f>'บางบัวทอง-ผลิต'!H21</f>
        <v>0</v>
      </c>
      <c r="H13" s="147">
        <f>'บางบัวทอง-ผลิต'!I21</f>
        <v>0</v>
      </c>
      <c r="I13" s="147">
        <f>'บางบัวทอง-ผลิต'!J21</f>
        <v>0</v>
      </c>
      <c r="J13" s="147">
        <f>'บางบัวทอง-ผลิต'!K21</f>
        <v>0</v>
      </c>
      <c r="K13" s="147">
        <f>'บางบัวทอง-ผลิต'!L21</f>
        <v>0</v>
      </c>
      <c r="L13" s="147">
        <f>'บางบัวทอง-ผลิต'!M21</f>
        <v>0</v>
      </c>
      <c r="M13" s="147">
        <f>'บางบัวทอง-ผลิต'!N21</f>
        <v>0</v>
      </c>
      <c r="N13" s="147">
        <f>'บางบัวทอง-ผลิต'!O21</f>
        <v>0</v>
      </c>
      <c r="O13" s="147">
        <f>'บางบัวทอง-ผลิต'!P21</f>
        <v>0</v>
      </c>
      <c r="P13" s="64"/>
      <c r="Q13" s="14"/>
      <c r="R13" s="14"/>
      <c r="S13" s="14"/>
      <c r="T13" s="8"/>
      <c r="U13" s="9"/>
      <c r="V13" s="10"/>
      <c r="W13" s="8"/>
      <c r="X13" s="9"/>
      <c r="Y13" s="10"/>
      <c r="Z13" s="8"/>
      <c r="AA13" s="9"/>
      <c r="AB13" s="10"/>
      <c r="AC13" s="8"/>
      <c r="AD13" s="9"/>
      <c r="AE13" s="10"/>
      <c r="AF13" s="8"/>
      <c r="AG13" s="9"/>
      <c r="AH13" s="10"/>
      <c r="AI13" s="8"/>
      <c r="AJ13" s="9"/>
      <c r="AK13" s="10"/>
      <c r="AL13" s="8"/>
      <c r="AM13" s="9"/>
      <c r="AN13" s="10"/>
      <c r="AO13" s="8"/>
      <c r="AP13" s="9"/>
      <c r="AQ13" s="10"/>
      <c r="AR13" s="8"/>
      <c r="AS13" s="9"/>
      <c r="AT13" s="10"/>
      <c r="AU13" s="8"/>
      <c r="AV13" s="9"/>
      <c r="AW13" s="10"/>
    </row>
    <row r="14" spans="1:49" ht="22.95" customHeight="1">
      <c r="A14" s="148" t="s">
        <v>62</v>
      </c>
      <c r="B14" s="14">
        <v>32</v>
      </c>
      <c r="C14" s="14" cm="1">
        <f t="array" ref="C14">SUMPRODUCT(ROUNDUP(D14:O14/B14, 0))</f>
        <v>0</v>
      </c>
      <c r="D14" s="147">
        <f>'บางบัวทอง-ผลิต'!E23</f>
        <v>0</v>
      </c>
      <c r="E14" s="147">
        <f>'บางบัวทอง-ผลิต'!F23</f>
        <v>0</v>
      </c>
      <c r="F14" s="147">
        <f>'บางบัวทอง-ผลิต'!G23</f>
        <v>0</v>
      </c>
      <c r="G14" s="147">
        <f>'บางบัวทอง-ผลิต'!H23</f>
        <v>0</v>
      </c>
      <c r="H14" s="147">
        <f>'บางบัวทอง-ผลิต'!I23</f>
        <v>0</v>
      </c>
      <c r="I14" s="147">
        <f>'บางบัวทอง-ผลิต'!J23</f>
        <v>0</v>
      </c>
      <c r="J14" s="147">
        <f>'บางบัวทอง-ผลิต'!K23</f>
        <v>0</v>
      </c>
      <c r="K14" s="147">
        <f>'บางบัวทอง-ผลิต'!L23</f>
        <v>0</v>
      </c>
      <c r="L14" s="147">
        <f>'บางบัวทอง-ผลิต'!M23</f>
        <v>0</v>
      </c>
      <c r="M14" s="147">
        <f>'บางบัวทอง-ผลิต'!N23</f>
        <v>0</v>
      </c>
      <c r="N14" s="147">
        <f>'บางบัวทอง-ผลิต'!O23</f>
        <v>0</v>
      </c>
      <c r="O14" s="147">
        <f>'บางบัวทอง-ผลิต'!P23</f>
        <v>0</v>
      </c>
      <c r="P14" s="64" t="str">
        <f t="shared" si="6"/>
        <v>0 full, 1 less than half</v>
      </c>
      <c r="Q14" s="14"/>
      <c r="R14" s="14"/>
      <c r="S14" s="14"/>
      <c r="T14" s="8">
        <f t="shared" si="0"/>
        <v>0</v>
      </c>
      <c r="U14" s="9">
        <f t="shared" si="1"/>
        <v>0</v>
      </c>
      <c r="V14" s="10">
        <f t="shared" si="2"/>
        <v>0</v>
      </c>
      <c r="W14" s="8">
        <f t="shared" si="7"/>
        <v>0</v>
      </c>
      <c r="X14" s="9">
        <f t="shared" si="8"/>
        <v>0</v>
      </c>
      <c r="Y14" s="10">
        <f t="shared" si="9"/>
        <v>0</v>
      </c>
      <c r="Z14" s="8">
        <f t="shared" si="3"/>
        <v>0</v>
      </c>
      <c r="AA14" s="9">
        <f t="shared" si="4"/>
        <v>0</v>
      </c>
      <c r="AB14" s="10">
        <f t="shared" si="5"/>
        <v>0</v>
      </c>
      <c r="AC14" s="8">
        <f t="shared" si="10"/>
        <v>0</v>
      </c>
      <c r="AD14" s="9">
        <f t="shared" si="11"/>
        <v>0</v>
      </c>
      <c r="AE14" s="10">
        <f t="shared" si="12"/>
        <v>0</v>
      </c>
      <c r="AF14" s="8">
        <f t="shared" si="13"/>
        <v>0</v>
      </c>
      <c r="AG14" s="9">
        <f t="shared" si="14"/>
        <v>0</v>
      </c>
      <c r="AH14" s="10">
        <f t="shared" si="15"/>
        <v>0</v>
      </c>
      <c r="AI14" s="8">
        <f t="shared" si="16"/>
        <v>0</v>
      </c>
      <c r="AJ14" s="9">
        <f t="shared" si="17"/>
        <v>0</v>
      </c>
      <c r="AK14" s="10">
        <f t="shared" si="18"/>
        <v>0</v>
      </c>
      <c r="AL14" s="8">
        <f t="shared" si="19"/>
        <v>0</v>
      </c>
      <c r="AM14" s="9">
        <f t="shared" si="20"/>
        <v>0</v>
      </c>
      <c r="AN14" s="10">
        <f t="shared" si="21"/>
        <v>0</v>
      </c>
      <c r="AO14" s="8">
        <f t="shared" si="22"/>
        <v>0</v>
      </c>
      <c r="AP14" s="9">
        <f t="shared" si="23"/>
        <v>0</v>
      </c>
      <c r="AQ14" s="10">
        <f t="shared" si="24"/>
        <v>0</v>
      </c>
      <c r="AR14" s="8">
        <f t="shared" si="25"/>
        <v>0</v>
      </c>
      <c r="AS14" s="9">
        <f t="shared" si="26"/>
        <v>0</v>
      </c>
      <c r="AT14" s="10">
        <f t="shared" si="27"/>
        <v>0</v>
      </c>
      <c r="AU14" s="8">
        <f t="shared" si="28"/>
        <v>0</v>
      </c>
      <c r="AV14" s="9">
        <f t="shared" si="29"/>
        <v>0</v>
      </c>
      <c r="AW14" s="10">
        <f t="shared" si="30"/>
        <v>0</v>
      </c>
    </row>
    <row r="15" spans="1:49" ht="22.95" customHeight="1">
      <c r="A15" s="149" t="s">
        <v>139</v>
      </c>
      <c r="B15" s="14">
        <v>27</v>
      </c>
      <c r="C15" s="14" cm="1">
        <f t="array" ref="C15">SUMPRODUCT(ROUNDUP(D15:O15/B15, 0))</f>
        <v>0</v>
      </c>
      <c r="D15" s="147">
        <f>'บางบัวทอง-ผลิต'!E25</f>
        <v>0</v>
      </c>
      <c r="E15" s="147">
        <f>'บางบัวทอง-ผลิต'!F25</f>
        <v>0</v>
      </c>
      <c r="F15" s="147">
        <f>'บางบัวทอง-ผลิต'!G25</f>
        <v>0</v>
      </c>
      <c r="G15" s="147">
        <f>'บางบัวทอง-ผลิต'!H25</f>
        <v>0</v>
      </c>
      <c r="H15" s="147">
        <f>'บางบัวทอง-ผลิต'!I25</f>
        <v>0</v>
      </c>
      <c r="I15" s="147">
        <f>'บางบัวทอง-ผลิต'!J25</f>
        <v>0</v>
      </c>
      <c r="J15" s="147">
        <f>'บางบัวทอง-ผลิต'!K25</f>
        <v>0</v>
      </c>
      <c r="K15" s="147">
        <f>'บางบัวทอง-ผลิต'!L25</f>
        <v>0</v>
      </c>
      <c r="L15" s="147">
        <f>'บางบัวทอง-ผลิต'!M25</f>
        <v>0</v>
      </c>
      <c r="M15" s="147">
        <f>'บางบัวทอง-ผลิต'!N25</f>
        <v>0</v>
      </c>
      <c r="N15" s="147">
        <f>'บางบัวทอง-ผลิต'!O25</f>
        <v>0</v>
      </c>
      <c r="O15" s="147">
        <f>'บางบัวทอง-ผลิต'!P25</f>
        <v>0</v>
      </c>
      <c r="P15" s="64"/>
      <c r="Q15" s="14"/>
      <c r="R15" s="14"/>
      <c r="S15" s="14"/>
      <c r="T15" s="8"/>
      <c r="U15" s="9"/>
      <c r="V15" s="10"/>
      <c r="W15" s="8"/>
      <c r="X15" s="9"/>
      <c r="Y15" s="10"/>
      <c r="Z15" s="8"/>
      <c r="AA15" s="9"/>
      <c r="AB15" s="10"/>
      <c r="AC15" s="8"/>
      <c r="AD15" s="9"/>
      <c r="AE15" s="10"/>
      <c r="AF15" s="8"/>
      <c r="AG15" s="9"/>
      <c r="AH15" s="10"/>
      <c r="AI15" s="8"/>
      <c r="AJ15" s="9"/>
      <c r="AK15" s="10"/>
      <c r="AL15" s="8"/>
      <c r="AM15" s="9"/>
      <c r="AN15" s="10"/>
      <c r="AO15" s="8"/>
      <c r="AP15" s="9"/>
      <c r="AQ15" s="10"/>
      <c r="AR15" s="8"/>
      <c r="AS15" s="9"/>
      <c r="AT15" s="10"/>
      <c r="AU15" s="8"/>
      <c r="AV15" s="9"/>
      <c r="AW15" s="10"/>
    </row>
    <row r="16" spans="1:49" ht="19.95" customHeight="1">
      <c r="A16" s="150" t="s">
        <v>63</v>
      </c>
      <c r="B16" s="14">
        <v>36</v>
      </c>
      <c r="C16" s="14" cm="1">
        <f t="array" ref="C16">SUMPRODUCT(ROUNDUP(D16:O16/B16, 0))</f>
        <v>0</v>
      </c>
      <c r="D16" s="147">
        <f>'บางบัวทอง-ผลิต'!E27</f>
        <v>0</v>
      </c>
      <c r="E16" s="147">
        <f>'บางบัวทอง-ผลิต'!F27</f>
        <v>0</v>
      </c>
      <c r="F16" s="147">
        <f>'บางบัวทอง-ผลิต'!G27</f>
        <v>0</v>
      </c>
      <c r="G16" s="147">
        <f>'บางบัวทอง-ผลิต'!H27</f>
        <v>0</v>
      </c>
      <c r="H16" s="147">
        <f>'บางบัวทอง-ผลิต'!I27</f>
        <v>0</v>
      </c>
      <c r="I16" s="147">
        <f>'บางบัวทอง-ผลิต'!J27</f>
        <v>0</v>
      </c>
      <c r="J16" s="147">
        <f>'บางบัวทอง-ผลิต'!K27</f>
        <v>0</v>
      </c>
      <c r="K16" s="147">
        <f>'บางบัวทอง-ผลิต'!L27</f>
        <v>0</v>
      </c>
      <c r="L16" s="147">
        <f>'บางบัวทอง-ผลิต'!M27</f>
        <v>0</v>
      </c>
      <c r="M16" s="147">
        <f>'บางบัวทอง-ผลิต'!N27</f>
        <v>0</v>
      </c>
      <c r="N16" s="147">
        <f>'บางบัวทอง-ผลิต'!O27</f>
        <v>0</v>
      </c>
      <c r="O16" s="147">
        <f>'บางบัวทอง-ผลิต'!P27</f>
        <v>0</v>
      </c>
      <c r="P16" s="64"/>
      <c r="Q16" s="14"/>
      <c r="R16" s="14"/>
      <c r="S16" s="14"/>
      <c r="T16" s="8"/>
      <c r="U16" s="9"/>
      <c r="V16" s="10"/>
      <c r="W16" s="8"/>
      <c r="X16" s="9"/>
      <c r="Y16" s="10"/>
      <c r="Z16" s="8"/>
      <c r="AA16" s="9"/>
      <c r="AB16" s="10"/>
      <c r="AC16" s="8"/>
      <c r="AD16" s="9"/>
      <c r="AE16" s="10"/>
      <c r="AF16" s="8"/>
      <c r="AG16" s="9"/>
      <c r="AH16" s="10"/>
      <c r="AI16" s="8"/>
      <c r="AJ16" s="9"/>
      <c r="AK16" s="10"/>
      <c r="AL16" s="8"/>
      <c r="AM16" s="9"/>
      <c r="AN16" s="10"/>
      <c r="AO16" s="8"/>
      <c r="AP16" s="9"/>
      <c r="AQ16" s="10"/>
      <c r="AR16" s="8"/>
      <c r="AS16" s="9"/>
      <c r="AT16" s="10"/>
      <c r="AU16" s="8"/>
      <c r="AV16" s="9"/>
      <c r="AW16" s="10"/>
    </row>
    <row r="17" spans="1:49" ht="19.95" customHeight="1">
      <c r="A17" s="148" t="s">
        <v>104</v>
      </c>
      <c r="B17" s="14">
        <v>20</v>
      </c>
      <c r="C17" s="14" cm="1">
        <f t="array" ref="C17">SUMPRODUCT(ROUNDUP(D17:O17/B17, 0))</f>
        <v>0</v>
      </c>
      <c r="D17" s="147">
        <f>'บางบัวทอง-ผลิต'!E29</f>
        <v>0</v>
      </c>
      <c r="E17" s="147">
        <f>'บางบัวทอง-ผลิต'!F29</f>
        <v>0</v>
      </c>
      <c r="F17" s="147">
        <f>'บางบัวทอง-ผลิต'!G29</f>
        <v>0</v>
      </c>
      <c r="G17" s="147">
        <f>'บางบัวทอง-ผลิต'!H29</f>
        <v>0</v>
      </c>
      <c r="H17" s="147">
        <f>'บางบัวทอง-ผลิต'!I29</f>
        <v>0</v>
      </c>
      <c r="I17" s="147">
        <f>'บางบัวทอง-ผลิต'!J29</f>
        <v>0</v>
      </c>
      <c r="J17" s="147">
        <f>'บางบัวทอง-ผลิต'!K29</f>
        <v>0</v>
      </c>
      <c r="K17" s="147">
        <f>'บางบัวทอง-ผลิต'!L29</f>
        <v>0</v>
      </c>
      <c r="L17" s="147">
        <f>'บางบัวทอง-ผลิต'!M29</f>
        <v>0</v>
      </c>
      <c r="M17" s="147">
        <f>'บางบัวทอง-ผลิต'!N29</f>
        <v>0</v>
      </c>
      <c r="N17" s="147">
        <f>'บางบัวทอง-ผลิต'!O29</f>
        <v>0</v>
      </c>
      <c r="O17" s="147">
        <f>'บางบัวทอง-ผลิต'!P29</f>
        <v>0</v>
      </c>
      <c r="P17" s="64"/>
      <c r="Q17" s="14"/>
      <c r="R17" s="14"/>
      <c r="S17" s="14"/>
      <c r="T17" s="8"/>
      <c r="U17" s="9"/>
      <c r="V17" s="10"/>
      <c r="W17" s="8"/>
      <c r="X17" s="9"/>
      <c r="Y17" s="10"/>
      <c r="Z17" s="8"/>
      <c r="AA17" s="9"/>
      <c r="AB17" s="10"/>
      <c r="AC17" s="8"/>
      <c r="AD17" s="9"/>
      <c r="AE17" s="10"/>
      <c r="AF17" s="8"/>
      <c r="AG17" s="9"/>
      <c r="AH17" s="10"/>
      <c r="AI17" s="8"/>
      <c r="AJ17" s="9"/>
      <c r="AK17" s="10"/>
      <c r="AL17" s="8"/>
      <c r="AM17" s="9"/>
      <c r="AN17" s="10"/>
      <c r="AO17" s="8"/>
      <c r="AP17" s="9"/>
      <c r="AQ17" s="10"/>
      <c r="AR17" s="8"/>
      <c r="AS17" s="9"/>
      <c r="AT17" s="10"/>
      <c r="AU17" s="8"/>
      <c r="AV17" s="9"/>
      <c r="AW17" s="10"/>
    </row>
    <row r="18" spans="1:49" ht="19.95" customHeight="1">
      <c r="A18" s="150" t="s">
        <v>128</v>
      </c>
      <c r="B18" s="14">
        <v>15</v>
      </c>
      <c r="C18" s="14" cm="1">
        <f t="array" ref="C18">SUMPRODUCT(ROUNDUP(D18:O18/B18, 0))</f>
        <v>0</v>
      </c>
      <c r="D18" s="147">
        <f>'บางบัวทอง-ผลิต'!E31</f>
        <v>0</v>
      </c>
      <c r="E18" s="147">
        <f>'บางบัวทอง-ผลิต'!F31</f>
        <v>0</v>
      </c>
      <c r="F18" s="147">
        <f>'บางบัวทอง-ผลิต'!G31</f>
        <v>0</v>
      </c>
      <c r="G18" s="147">
        <f>'บางบัวทอง-ผลิต'!H31</f>
        <v>0</v>
      </c>
      <c r="H18" s="147">
        <f>'บางบัวทอง-ผลิต'!I31</f>
        <v>0</v>
      </c>
      <c r="I18" s="147">
        <f>'บางบัวทอง-ผลิต'!J31</f>
        <v>0</v>
      </c>
      <c r="J18" s="147">
        <f>'บางบัวทอง-ผลิต'!K31</f>
        <v>0</v>
      </c>
      <c r="K18" s="147">
        <f>'บางบัวทอง-ผลิต'!L31</f>
        <v>0</v>
      </c>
      <c r="L18" s="147">
        <f>'บางบัวทอง-ผลิต'!M31</f>
        <v>0</v>
      </c>
      <c r="M18" s="147">
        <f>'บางบัวทอง-ผลิต'!N31</f>
        <v>0</v>
      </c>
      <c r="N18" s="147">
        <f>'บางบัวทอง-ผลิต'!O31</f>
        <v>0</v>
      </c>
      <c r="O18" s="147">
        <f>'บางบัวทอง-ผลิต'!P31</f>
        <v>0</v>
      </c>
      <c r="P18" s="64"/>
      <c r="Q18" s="14"/>
      <c r="R18" s="14"/>
      <c r="S18" s="14"/>
      <c r="T18" s="8"/>
      <c r="U18" s="9"/>
      <c r="V18" s="10"/>
      <c r="W18" s="8"/>
      <c r="X18" s="9"/>
      <c r="Y18" s="10"/>
      <c r="Z18" s="8"/>
      <c r="AA18" s="9"/>
      <c r="AB18" s="10"/>
      <c r="AC18" s="8"/>
      <c r="AD18" s="9"/>
      <c r="AE18" s="10"/>
      <c r="AF18" s="8"/>
      <c r="AG18" s="9"/>
      <c r="AH18" s="10"/>
      <c r="AI18" s="8"/>
      <c r="AJ18" s="9"/>
      <c r="AK18" s="10"/>
      <c r="AL18" s="8"/>
      <c r="AM18" s="9"/>
      <c r="AN18" s="10"/>
      <c r="AO18" s="8"/>
      <c r="AP18" s="9"/>
      <c r="AQ18" s="10"/>
      <c r="AR18" s="8"/>
      <c r="AS18" s="9"/>
      <c r="AT18" s="10"/>
      <c r="AU18" s="8"/>
      <c r="AV18" s="9"/>
      <c r="AW18" s="10"/>
    </row>
    <row r="19" spans="1:49" ht="19.95" customHeight="1">
      <c r="A19" s="150" t="s">
        <v>64</v>
      </c>
      <c r="B19" s="14">
        <v>45</v>
      </c>
      <c r="C19" s="14" cm="1">
        <f t="array" ref="C19">SUMPRODUCT(ROUNDUP(D19:O19/B19, 0))</f>
        <v>0</v>
      </c>
      <c r="D19" s="147">
        <f>'บางบัวทอง-ผลิต'!E33</f>
        <v>0</v>
      </c>
      <c r="E19" s="147">
        <f>'บางบัวทอง-ผลิต'!F33</f>
        <v>0</v>
      </c>
      <c r="F19" s="147">
        <f>'บางบัวทอง-ผลิต'!G33</f>
        <v>0</v>
      </c>
      <c r="G19" s="147">
        <f>'บางบัวทอง-ผลิต'!H33</f>
        <v>0</v>
      </c>
      <c r="H19" s="147">
        <f>'บางบัวทอง-ผลิต'!I33</f>
        <v>0</v>
      </c>
      <c r="I19" s="147">
        <f>'บางบัวทอง-ผลิต'!J33</f>
        <v>0</v>
      </c>
      <c r="J19" s="147">
        <f>'บางบัวทอง-ผลิต'!K33</f>
        <v>0</v>
      </c>
      <c r="K19" s="147">
        <f>'บางบัวทอง-ผลิต'!L33</f>
        <v>0</v>
      </c>
      <c r="L19" s="147">
        <f>'บางบัวทอง-ผลิต'!M33</f>
        <v>0</v>
      </c>
      <c r="M19" s="147">
        <f>'บางบัวทอง-ผลิต'!N33</f>
        <v>0</v>
      </c>
      <c r="N19" s="147">
        <f>'บางบัวทอง-ผลิต'!O33</f>
        <v>0</v>
      </c>
      <c r="O19" s="147">
        <f>'บางบัวทอง-ผลิต'!P33</f>
        <v>0</v>
      </c>
      <c r="P19" s="64"/>
      <c r="Q19" s="14"/>
      <c r="R19" s="14"/>
      <c r="S19" s="14"/>
      <c r="T19" s="8"/>
      <c r="U19" s="9"/>
      <c r="V19" s="10"/>
      <c r="W19" s="8"/>
      <c r="X19" s="9"/>
      <c r="Y19" s="10"/>
      <c r="Z19" s="8"/>
      <c r="AA19" s="9"/>
      <c r="AB19" s="10"/>
      <c r="AC19" s="8"/>
      <c r="AD19" s="9"/>
      <c r="AE19" s="10"/>
      <c r="AF19" s="8"/>
      <c r="AG19" s="9"/>
      <c r="AH19" s="10"/>
      <c r="AI19" s="8"/>
      <c r="AJ19" s="9"/>
      <c r="AK19" s="10"/>
      <c r="AL19" s="8"/>
      <c r="AM19" s="9"/>
      <c r="AN19" s="10"/>
      <c r="AO19" s="8"/>
      <c r="AP19" s="9"/>
      <c r="AQ19" s="10"/>
      <c r="AR19" s="8"/>
      <c r="AS19" s="9"/>
      <c r="AT19" s="10"/>
      <c r="AU19" s="8"/>
      <c r="AV19" s="9"/>
      <c r="AW19" s="10"/>
    </row>
    <row r="20" spans="1:49" ht="19.95" customHeight="1">
      <c r="A20" s="150" t="s">
        <v>132</v>
      </c>
      <c r="B20" s="14">
        <v>15</v>
      </c>
      <c r="C20" s="14" cm="1">
        <f t="array" ref="C20">SUMPRODUCT(ROUNDUP(D20:O20/B20, 0))</f>
        <v>0</v>
      </c>
      <c r="D20" s="147">
        <f>'บางบัวทอง-ผลิต'!E35</f>
        <v>0</v>
      </c>
      <c r="E20" s="147">
        <f>'บางบัวทอง-ผลิต'!F35</f>
        <v>0</v>
      </c>
      <c r="F20" s="147">
        <f>'บางบัวทอง-ผลิต'!G35</f>
        <v>0</v>
      </c>
      <c r="G20" s="147">
        <f>'บางบัวทอง-ผลิต'!H35</f>
        <v>0</v>
      </c>
      <c r="H20" s="147">
        <f>'บางบัวทอง-ผลิต'!I35</f>
        <v>0</v>
      </c>
      <c r="I20" s="147">
        <f>'บางบัวทอง-ผลิต'!J35</f>
        <v>0</v>
      </c>
      <c r="J20" s="147">
        <f>'บางบัวทอง-ผลิต'!K35</f>
        <v>0</v>
      </c>
      <c r="K20" s="147">
        <f>'บางบัวทอง-ผลิต'!L35</f>
        <v>0</v>
      </c>
      <c r="L20" s="147">
        <f>'บางบัวทอง-ผลิต'!M35</f>
        <v>0</v>
      </c>
      <c r="M20" s="147">
        <f>'บางบัวทอง-ผลิต'!N35</f>
        <v>0</v>
      </c>
      <c r="N20" s="147">
        <f>'บางบัวทอง-ผลิต'!O35</f>
        <v>0</v>
      </c>
      <c r="O20" s="147">
        <f>'บางบัวทอง-ผลิต'!P35</f>
        <v>0</v>
      </c>
      <c r="P20" s="64"/>
      <c r="Q20" s="14"/>
      <c r="R20" s="14"/>
      <c r="S20" s="14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  <c r="AE20" s="10"/>
      <c r="AF20" s="8"/>
      <c r="AG20" s="9"/>
      <c r="AH20" s="10"/>
      <c r="AI20" s="8"/>
      <c r="AJ20" s="9"/>
      <c r="AK20" s="10"/>
      <c r="AL20" s="8"/>
      <c r="AM20" s="9"/>
      <c r="AN20" s="10"/>
      <c r="AO20" s="8"/>
      <c r="AP20" s="9"/>
      <c r="AQ20" s="10"/>
      <c r="AR20" s="8"/>
      <c r="AS20" s="9"/>
      <c r="AT20" s="10"/>
      <c r="AU20" s="8"/>
      <c r="AV20" s="9"/>
      <c r="AW20" s="10"/>
    </row>
    <row r="21" spans="1:49" ht="19.95" customHeight="1">
      <c r="A21" s="150" t="s">
        <v>147</v>
      </c>
      <c r="B21" s="14">
        <v>27</v>
      </c>
      <c r="C21" s="14" cm="1">
        <f t="array" ref="C21">SUMPRODUCT(ROUNDUP(D21:O21/B21, 0))</f>
        <v>0</v>
      </c>
      <c r="D21" s="147">
        <f>'บางบัวทอง-ผลิต'!E37</f>
        <v>0</v>
      </c>
      <c r="E21" s="147">
        <f>'บางบัวทอง-ผลิต'!F37</f>
        <v>0</v>
      </c>
      <c r="F21" s="147">
        <f>'บางบัวทอง-ผลิต'!G37</f>
        <v>0</v>
      </c>
      <c r="G21" s="147">
        <f>'บางบัวทอง-ผลิต'!H37</f>
        <v>0</v>
      </c>
      <c r="H21" s="147">
        <f>'บางบัวทอง-ผลิต'!I37</f>
        <v>0</v>
      </c>
      <c r="I21" s="147">
        <f>'บางบัวทอง-ผลิต'!J37</f>
        <v>0</v>
      </c>
      <c r="J21" s="147">
        <f>'บางบัวทอง-ผลิต'!K37</f>
        <v>0</v>
      </c>
      <c r="K21" s="147">
        <f>'บางบัวทอง-ผลิต'!L37</f>
        <v>0</v>
      </c>
      <c r="L21" s="147">
        <f>'บางบัวทอง-ผลิต'!M37</f>
        <v>0</v>
      </c>
      <c r="M21" s="147">
        <f>'บางบัวทอง-ผลิต'!N37</f>
        <v>0</v>
      </c>
      <c r="N21" s="147">
        <f>'บางบัวทอง-ผลิต'!O37</f>
        <v>0</v>
      </c>
      <c r="O21" s="147">
        <f>'บางบัวทอง-ผลิต'!P37</f>
        <v>0</v>
      </c>
      <c r="P21" s="64"/>
      <c r="Q21" s="14"/>
      <c r="R21" s="14"/>
      <c r="S21" s="14"/>
      <c r="T21" s="8"/>
      <c r="U21" s="9"/>
      <c r="V21" s="10"/>
      <c r="W21" s="8"/>
      <c r="X21" s="9"/>
      <c r="Y21" s="10"/>
      <c r="Z21" s="8"/>
      <c r="AA21" s="9"/>
      <c r="AB21" s="10"/>
      <c r="AC21" s="8"/>
      <c r="AD21" s="9"/>
      <c r="AE21" s="10"/>
      <c r="AF21" s="8"/>
      <c r="AG21" s="9"/>
      <c r="AH21" s="10"/>
      <c r="AI21" s="8"/>
      <c r="AJ21" s="9"/>
      <c r="AK21" s="10"/>
      <c r="AL21" s="8"/>
      <c r="AM21" s="9"/>
      <c r="AN21" s="10"/>
      <c r="AO21" s="8"/>
      <c r="AP21" s="9"/>
      <c r="AQ21" s="10"/>
      <c r="AR21" s="8"/>
      <c r="AS21" s="9"/>
      <c r="AT21" s="10"/>
      <c r="AU21" s="8"/>
      <c r="AV21" s="9"/>
      <c r="AW21" s="10"/>
    </row>
    <row r="22" spans="1:49" ht="19.95" customHeight="1">
      <c r="A22" s="150" t="s">
        <v>109</v>
      </c>
      <c r="B22" s="14">
        <v>15</v>
      </c>
      <c r="C22" s="14" cm="1">
        <f t="array" ref="C22">SUMPRODUCT(ROUNDUP(D22:O22/B22, 0))</f>
        <v>0</v>
      </c>
      <c r="D22" s="147">
        <f>'บางบัวทอง-ผลิต'!E39</f>
        <v>0</v>
      </c>
      <c r="E22" s="147">
        <f>'บางบัวทอง-ผลิต'!F39</f>
        <v>0</v>
      </c>
      <c r="F22" s="147">
        <f>'บางบัวทอง-ผลิต'!G39</f>
        <v>0</v>
      </c>
      <c r="G22" s="147">
        <f>'บางบัวทอง-ผลิต'!H39</f>
        <v>0</v>
      </c>
      <c r="H22" s="147">
        <f>'บางบัวทอง-ผลิต'!I39</f>
        <v>0</v>
      </c>
      <c r="I22" s="147">
        <f>'บางบัวทอง-ผลิต'!J39</f>
        <v>0</v>
      </c>
      <c r="J22" s="147">
        <f>'บางบัวทอง-ผลิต'!K39</f>
        <v>0</v>
      </c>
      <c r="K22" s="147">
        <f>'บางบัวทอง-ผลิต'!L39</f>
        <v>0</v>
      </c>
      <c r="L22" s="147">
        <f>'บางบัวทอง-ผลิต'!M39</f>
        <v>0</v>
      </c>
      <c r="M22" s="147">
        <f>'บางบัวทอง-ผลิต'!N39</f>
        <v>0</v>
      </c>
      <c r="N22" s="147">
        <f>'บางบัวทอง-ผลิต'!O39</f>
        <v>0</v>
      </c>
      <c r="O22" s="147">
        <f>'บางบัวทอง-ผลิต'!P39</f>
        <v>0</v>
      </c>
      <c r="P22" s="64"/>
      <c r="Q22" s="14"/>
      <c r="R22" s="14"/>
      <c r="S22" s="14"/>
      <c r="T22" s="8"/>
      <c r="U22" s="9"/>
      <c r="V22" s="10"/>
      <c r="W22" s="8"/>
      <c r="X22" s="9"/>
      <c r="Y22" s="10"/>
      <c r="Z22" s="8"/>
      <c r="AA22" s="9"/>
      <c r="AB22" s="10"/>
      <c r="AC22" s="8"/>
      <c r="AD22" s="9"/>
      <c r="AE22" s="10"/>
      <c r="AF22" s="8"/>
      <c r="AG22" s="9"/>
      <c r="AH22" s="10"/>
      <c r="AI22" s="8"/>
      <c r="AJ22" s="9"/>
      <c r="AK22" s="10"/>
      <c r="AL22" s="8"/>
      <c r="AM22" s="9"/>
      <c r="AN22" s="10"/>
      <c r="AO22" s="8"/>
      <c r="AP22" s="9"/>
      <c r="AQ22" s="10"/>
      <c r="AR22" s="8"/>
      <c r="AS22" s="9"/>
      <c r="AT22" s="10"/>
      <c r="AU22" s="8"/>
      <c r="AV22" s="9"/>
      <c r="AW22" s="10"/>
    </row>
    <row r="23" spans="1:49" ht="19.95" customHeight="1">
      <c r="A23" s="150" t="s">
        <v>130</v>
      </c>
      <c r="B23" s="14">
        <v>27</v>
      </c>
      <c r="C23" s="14" cm="1">
        <f t="array" ref="C23">SUMPRODUCT(ROUNDUP(D23:O23/B23, 0))</f>
        <v>0</v>
      </c>
      <c r="D23" s="147">
        <f>'บางบัวทอง-ผลิต'!E41</f>
        <v>0</v>
      </c>
      <c r="E23" s="147">
        <f>'บางบัวทอง-ผลิต'!F41</f>
        <v>0</v>
      </c>
      <c r="F23" s="147">
        <f>'บางบัวทอง-ผลิต'!G41</f>
        <v>0</v>
      </c>
      <c r="G23" s="147">
        <f>'บางบัวทอง-ผลิต'!H41</f>
        <v>0</v>
      </c>
      <c r="H23" s="147">
        <f>'บางบัวทอง-ผลิต'!I41</f>
        <v>0</v>
      </c>
      <c r="I23" s="147">
        <f>'บางบัวทอง-ผลิต'!J41</f>
        <v>0</v>
      </c>
      <c r="J23" s="147">
        <f>'บางบัวทอง-ผลิต'!K41</f>
        <v>0</v>
      </c>
      <c r="K23" s="147">
        <f>'บางบัวทอง-ผลิต'!L41</f>
        <v>0</v>
      </c>
      <c r="L23" s="147">
        <f>'บางบัวทอง-ผลิต'!M41</f>
        <v>0</v>
      </c>
      <c r="M23" s="147">
        <f>'บางบัวทอง-ผลิต'!N41</f>
        <v>0</v>
      </c>
      <c r="N23" s="147">
        <f>'บางบัวทอง-ผลิต'!O41</f>
        <v>0</v>
      </c>
      <c r="O23" s="147">
        <f>'บางบัวทอง-ผลิต'!P41</f>
        <v>0</v>
      </c>
      <c r="P23" s="64"/>
      <c r="Q23" s="14"/>
      <c r="R23" s="14"/>
      <c r="S23" s="14"/>
      <c r="T23" s="8"/>
      <c r="U23" s="9"/>
      <c r="V23" s="10"/>
      <c r="W23" s="8"/>
      <c r="X23" s="9"/>
      <c r="Y23" s="10"/>
      <c r="Z23" s="8"/>
      <c r="AA23" s="9"/>
      <c r="AB23" s="10"/>
      <c r="AC23" s="8"/>
      <c r="AD23" s="9"/>
      <c r="AE23" s="10"/>
      <c r="AF23" s="8"/>
      <c r="AG23" s="9"/>
      <c r="AH23" s="10"/>
      <c r="AI23" s="8"/>
      <c r="AJ23" s="9"/>
      <c r="AK23" s="10"/>
      <c r="AL23" s="8"/>
      <c r="AM23" s="9"/>
      <c r="AN23" s="10"/>
      <c r="AO23" s="8"/>
      <c r="AP23" s="9"/>
      <c r="AQ23" s="10"/>
      <c r="AR23" s="8"/>
      <c r="AS23" s="9"/>
      <c r="AT23" s="10"/>
      <c r="AU23" s="8"/>
      <c r="AV23" s="9"/>
      <c r="AW23" s="10"/>
    </row>
    <row r="24" spans="1:49" ht="19.95" customHeight="1">
      <c r="A24" s="150" t="s">
        <v>65</v>
      </c>
      <c r="B24" s="14">
        <v>20</v>
      </c>
      <c r="C24" s="14" cm="1">
        <f t="array" ref="C24">SUMPRODUCT(ROUNDUP(D24:O24/B24, 0))</f>
        <v>0</v>
      </c>
      <c r="D24" s="147">
        <f>'บางบัวทอง-ผลิต'!E43</f>
        <v>0</v>
      </c>
      <c r="E24" s="147">
        <f>'บางบัวทอง-ผลิต'!F43</f>
        <v>0</v>
      </c>
      <c r="F24" s="147">
        <f>'บางบัวทอง-ผลิต'!G43</f>
        <v>0</v>
      </c>
      <c r="G24" s="147">
        <f>'บางบัวทอง-ผลิต'!H43</f>
        <v>0</v>
      </c>
      <c r="H24" s="147">
        <f>'บางบัวทอง-ผลิต'!I43</f>
        <v>0</v>
      </c>
      <c r="I24" s="147">
        <f>'บางบัวทอง-ผลิต'!J43</f>
        <v>0</v>
      </c>
      <c r="J24" s="147">
        <f>'บางบัวทอง-ผลิต'!K43</f>
        <v>0</v>
      </c>
      <c r="K24" s="147">
        <f>'บางบัวทอง-ผลิต'!L43</f>
        <v>0</v>
      </c>
      <c r="L24" s="147">
        <f>'บางบัวทอง-ผลิต'!M43</f>
        <v>0</v>
      </c>
      <c r="M24" s="147">
        <f>'บางบัวทอง-ผลิต'!N43</f>
        <v>0</v>
      </c>
      <c r="N24" s="147">
        <f>'บางบัวทอง-ผลิต'!O43</f>
        <v>0</v>
      </c>
      <c r="O24" s="147">
        <f>'บางบัวทอง-ผลิต'!P43</f>
        <v>0</v>
      </c>
      <c r="P24" s="64"/>
      <c r="Q24" s="14"/>
      <c r="R24" s="14"/>
      <c r="S24" s="14"/>
      <c r="T24" s="8"/>
      <c r="U24" s="9"/>
      <c r="V24" s="10"/>
      <c r="W24" s="8"/>
      <c r="X24" s="9"/>
      <c r="Y24" s="10"/>
      <c r="Z24" s="8"/>
      <c r="AA24" s="9"/>
      <c r="AB24" s="10"/>
      <c r="AC24" s="8"/>
      <c r="AD24" s="9"/>
      <c r="AE24" s="10"/>
      <c r="AF24" s="8"/>
      <c r="AG24" s="9"/>
      <c r="AH24" s="10"/>
      <c r="AI24" s="8"/>
      <c r="AJ24" s="9"/>
      <c r="AK24" s="10"/>
      <c r="AL24" s="8"/>
      <c r="AM24" s="9"/>
      <c r="AN24" s="10"/>
      <c r="AO24" s="8"/>
      <c r="AP24" s="9"/>
      <c r="AQ24" s="10"/>
      <c r="AR24" s="8"/>
      <c r="AS24" s="9"/>
      <c r="AT24" s="10"/>
      <c r="AU24" s="8"/>
      <c r="AV24" s="9"/>
      <c r="AW24" s="10"/>
    </row>
    <row r="25" spans="1:49" ht="19.95" customHeight="1">
      <c r="A25" s="149" t="s">
        <v>66</v>
      </c>
      <c r="B25" s="14">
        <v>32</v>
      </c>
      <c r="C25" s="14" cm="1">
        <f t="array" ref="C25">SUMPRODUCT(ROUNDUP(D25:O25/B25, 0))</f>
        <v>0</v>
      </c>
      <c r="D25" s="147">
        <f>'บางบัวทอง-ผลิต'!E45</f>
        <v>0</v>
      </c>
      <c r="E25" s="147">
        <f>'บางบัวทอง-ผลิต'!F45</f>
        <v>0</v>
      </c>
      <c r="F25" s="147">
        <f>'บางบัวทอง-ผลิต'!G45</f>
        <v>0</v>
      </c>
      <c r="G25" s="147">
        <f>'บางบัวทอง-ผลิต'!H45</f>
        <v>0</v>
      </c>
      <c r="H25" s="147">
        <f>'บางบัวทอง-ผลิต'!I45</f>
        <v>0</v>
      </c>
      <c r="I25" s="147">
        <f>'บางบัวทอง-ผลิต'!J45</f>
        <v>0</v>
      </c>
      <c r="J25" s="147">
        <f>'บางบัวทอง-ผลิต'!K45</f>
        <v>0</v>
      </c>
      <c r="K25" s="147">
        <f>'บางบัวทอง-ผลิต'!L45</f>
        <v>0</v>
      </c>
      <c r="L25" s="147">
        <f>'บางบัวทอง-ผลิต'!M45</f>
        <v>0</v>
      </c>
      <c r="M25" s="147">
        <f>'บางบัวทอง-ผลิต'!N45</f>
        <v>0</v>
      </c>
      <c r="N25" s="147">
        <f>'บางบัวทอง-ผลิต'!O45</f>
        <v>0</v>
      </c>
      <c r="O25" s="147">
        <f>'บางบัวทอง-ผลิต'!P45</f>
        <v>0</v>
      </c>
      <c r="P25" s="64"/>
      <c r="Q25" s="14"/>
      <c r="R25" s="14"/>
      <c r="S25" s="14"/>
      <c r="T25" s="8"/>
      <c r="U25" s="9"/>
      <c r="V25" s="10"/>
      <c r="W25" s="8"/>
      <c r="X25" s="9"/>
      <c r="Y25" s="10"/>
      <c r="Z25" s="8"/>
      <c r="AA25" s="9"/>
      <c r="AB25" s="10"/>
      <c r="AC25" s="8"/>
      <c r="AD25" s="9"/>
      <c r="AE25" s="10"/>
      <c r="AF25" s="8"/>
      <c r="AG25" s="9"/>
      <c r="AH25" s="10"/>
      <c r="AI25" s="8"/>
      <c r="AJ25" s="9"/>
      <c r="AK25" s="10"/>
      <c r="AL25" s="8"/>
      <c r="AM25" s="9"/>
      <c r="AN25" s="10"/>
      <c r="AO25" s="8"/>
      <c r="AP25" s="9"/>
      <c r="AQ25" s="10"/>
      <c r="AR25" s="8"/>
      <c r="AS25" s="9"/>
      <c r="AT25" s="10"/>
      <c r="AU25" s="8"/>
      <c r="AV25" s="9"/>
      <c r="AW25" s="10"/>
    </row>
    <row r="26" spans="1:49" ht="19.95" customHeight="1">
      <c r="A26" s="148" t="s">
        <v>105</v>
      </c>
      <c r="B26" s="14">
        <v>15</v>
      </c>
      <c r="C26" s="14" cm="1">
        <f t="array" ref="C26">SUMPRODUCT(ROUNDUP(D26:O26/B26, 0))</f>
        <v>0</v>
      </c>
      <c r="D26" s="147">
        <f>'บางบัวทอง-ผลิต'!E47</f>
        <v>0</v>
      </c>
      <c r="E26" s="147">
        <f>'บางบัวทอง-ผลิต'!F47</f>
        <v>0</v>
      </c>
      <c r="F26" s="147">
        <f>'บางบัวทอง-ผลิต'!G47</f>
        <v>0</v>
      </c>
      <c r="G26" s="147">
        <f>'บางบัวทอง-ผลิต'!H47</f>
        <v>0</v>
      </c>
      <c r="H26" s="147">
        <f>'บางบัวทอง-ผลิต'!I47</f>
        <v>0</v>
      </c>
      <c r="I26" s="147">
        <f>'บางบัวทอง-ผลิต'!J47</f>
        <v>0</v>
      </c>
      <c r="J26" s="147">
        <f>'บางบัวทอง-ผลิต'!K47</f>
        <v>0</v>
      </c>
      <c r="K26" s="147">
        <f>'บางบัวทอง-ผลิต'!L47</f>
        <v>0</v>
      </c>
      <c r="L26" s="147">
        <f>'บางบัวทอง-ผลิต'!M47</f>
        <v>0</v>
      </c>
      <c r="M26" s="147">
        <f>'บางบัวทอง-ผลิต'!N47</f>
        <v>0</v>
      </c>
      <c r="N26" s="147">
        <f>'บางบัวทอง-ผลิต'!O47</f>
        <v>0</v>
      </c>
      <c r="O26" s="147">
        <f>'บางบัวทอง-ผลิต'!P47</f>
        <v>0</v>
      </c>
      <c r="P26" s="64"/>
      <c r="Q26" s="14"/>
      <c r="R26" s="14"/>
      <c r="S26" s="14"/>
      <c r="T26" s="8"/>
      <c r="U26" s="9"/>
      <c r="V26" s="10"/>
      <c r="W26" s="8"/>
      <c r="X26" s="9"/>
      <c r="Y26" s="10"/>
      <c r="Z26" s="8"/>
      <c r="AA26" s="9"/>
      <c r="AB26" s="10"/>
      <c r="AC26" s="8"/>
      <c r="AD26" s="9"/>
      <c r="AE26" s="10"/>
      <c r="AF26" s="8"/>
      <c r="AG26" s="9"/>
      <c r="AH26" s="10"/>
      <c r="AI26" s="8"/>
      <c r="AJ26" s="9"/>
      <c r="AK26" s="10"/>
      <c r="AL26" s="8"/>
      <c r="AM26" s="9"/>
      <c r="AN26" s="10"/>
      <c r="AO26" s="8"/>
      <c r="AP26" s="9"/>
      <c r="AQ26" s="10"/>
      <c r="AR26" s="8"/>
      <c r="AS26" s="9"/>
      <c r="AT26" s="10"/>
      <c r="AU26" s="8"/>
      <c r="AV26" s="9"/>
      <c r="AW26" s="10"/>
    </row>
    <row r="27" spans="1:49" ht="19.95" customHeight="1">
      <c r="A27" s="148" t="s">
        <v>105</v>
      </c>
      <c r="B27" s="14">
        <v>8</v>
      </c>
      <c r="C27" s="14" cm="1">
        <f t="array" ref="C27">SUMPRODUCT(ROUNDUP(D27:O27/B27, 0))</f>
        <v>0</v>
      </c>
      <c r="D27" s="147">
        <f>'บางบัวทอง-ผลิต'!E49</f>
        <v>0</v>
      </c>
      <c r="E27" s="147">
        <f>'บางบัวทอง-ผลิต'!F49</f>
        <v>0</v>
      </c>
      <c r="F27" s="147">
        <f>'บางบัวทอง-ผลิต'!G49</f>
        <v>0</v>
      </c>
      <c r="G27" s="147">
        <f>'บางบัวทอง-ผลิต'!H49</f>
        <v>0</v>
      </c>
      <c r="H27" s="147">
        <f>'บางบัวทอง-ผลิต'!I49</f>
        <v>0</v>
      </c>
      <c r="I27" s="147">
        <f>'บางบัวทอง-ผลิต'!J49</f>
        <v>0</v>
      </c>
      <c r="J27" s="147">
        <f>'บางบัวทอง-ผลิต'!K49</f>
        <v>0</v>
      </c>
      <c r="K27" s="147">
        <f>'บางบัวทอง-ผลิต'!L49</f>
        <v>0</v>
      </c>
      <c r="L27" s="147">
        <f>'บางบัวทอง-ผลิต'!M49</f>
        <v>0</v>
      </c>
      <c r="M27" s="147">
        <f>'บางบัวทอง-ผลิต'!N49</f>
        <v>0</v>
      </c>
      <c r="N27" s="147">
        <f>'บางบัวทอง-ผลิต'!O49</f>
        <v>0</v>
      </c>
      <c r="O27" s="147">
        <f>'บางบัวทอง-ผลิต'!P49</f>
        <v>0</v>
      </c>
      <c r="P27" s="64"/>
      <c r="Q27" s="14"/>
      <c r="R27" s="14"/>
      <c r="S27" s="14"/>
      <c r="T27" s="8"/>
      <c r="U27" s="9"/>
      <c r="V27" s="10"/>
      <c r="W27" s="8"/>
      <c r="X27" s="9"/>
      <c r="Y27" s="10"/>
      <c r="Z27" s="8"/>
      <c r="AA27" s="9"/>
      <c r="AB27" s="10"/>
      <c r="AC27" s="8"/>
      <c r="AD27" s="9"/>
      <c r="AE27" s="10"/>
      <c r="AF27" s="8"/>
      <c r="AG27" s="9"/>
      <c r="AH27" s="10"/>
      <c r="AI27" s="8"/>
      <c r="AJ27" s="9"/>
      <c r="AK27" s="10"/>
      <c r="AL27" s="8"/>
      <c r="AM27" s="9"/>
      <c r="AN27" s="10"/>
      <c r="AO27" s="8"/>
      <c r="AP27" s="9"/>
      <c r="AQ27" s="10"/>
      <c r="AR27" s="8"/>
      <c r="AS27" s="9"/>
      <c r="AT27" s="10"/>
      <c r="AU27" s="8"/>
      <c r="AV27" s="9"/>
      <c r="AW27" s="10"/>
    </row>
    <row r="28" spans="1:49" s="25" customFormat="1" ht="25.2" customHeight="1">
      <c r="A28" s="391" t="s">
        <v>40</v>
      </c>
      <c r="B28" s="391"/>
      <c r="C28" s="88">
        <f>SUM(C10:C27)</f>
        <v>0</v>
      </c>
      <c r="D28" s="2">
        <f>SUM(D29:D31)*-1</f>
        <v>0</v>
      </c>
      <c r="E28" s="2">
        <f t="shared" ref="E28:K28" si="31">SUM(E29:E31)*-1</f>
        <v>0</v>
      </c>
      <c r="F28" s="2">
        <f t="shared" si="31"/>
        <v>0</v>
      </c>
      <c r="G28" s="2">
        <f t="shared" si="31"/>
        <v>0</v>
      </c>
      <c r="H28" s="2">
        <f t="shared" si="31"/>
        <v>0</v>
      </c>
      <c r="I28" s="2">
        <f t="shared" si="31"/>
        <v>0</v>
      </c>
      <c r="J28" s="2">
        <f t="shared" si="31"/>
        <v>0</v>
      </c>
      <c r="K28" s="2">
        <f t="shared" si="31"/>
        <v>0</v>
      </c>
      <c r="L28" s="2">
        <f>SUM(L29:L31)*-1</f>
        <v>0</v>
      </c>
      <c r="M28" s="2">
        <f>SUM(M29:M31)*-1</f>
        <v>0</v>
      </c>
      <c r="N28" s="2">
        <f t="shared" ref="N28" si="32">SUM(N29:N31)*-1</f>
        <v>0</v>
      </c>
      <c r="O28" s="2">
        <f t="shared" ref="O28" si="33">SUM(O29:O31)*-1</f>
        <v>0</v>
      </c>
      <c r="P28" s="86"/>
      <c r="Q28" s="24"/>
      <c r="R28" s="24"/>
      <c r="S28" s="24"/>
    </row>
    <row r="29" spans="1:49" ht="21" customHeight="1">
      <c r="A29" s="392" t="s">
        <v>41</v>
      </c>
      <c r="B29" s="392"/>
      <c r="C29" s="392"/>
      <c r="D29" s="87">
        <f>SUM(T10:T15)</f>
        <v>0</v>
      </c>
      <c r="E29" s="87">
        <f>SUM(W10:W15)</f>
        <v>0</v>
      </c>
      <c r="F29" s="87">
        <f>SUM(Z10:Z15)</f>
        <v>0</v>
      </c>
      <c r="G29" s="87">
        <f>SUM(AC10:AC15)</f>
        <v>0</v>
      </c>
      <c r="H29" s="87">
        <f>SUM(AF10:AF15)</f>
        <v>0</v>
      </c>
      <c r="I29" s="87">
        <f>SUM(AI10:AI15)</f>
        <v>0</v>
      </c>
      <c r="J29" s="87">
        <f>SUM(AL10:AL15)</f>
        <v>0</v>
      </c>
      <c r="K29" s="87">
        <f>SUM(AO10:AO15)</f>
        <v>0</v>
      </c>
      <c r="L29" s="87">
        <f>SUM(AR10:AR15)</f>
        <v>0</v>
      </c>
      <c r="M29" s="87">
        <f>SUM(AS10:AS15)</f>
        <v>0</v>
      </c>
      <c r="N29" s="87">
        <f>SUM(AT10:AT15)</f>
        <v>0</v>
      </c>
      <c r="O29" s="87">
        <f>SUM(AU10:AU15)</f>
        <v>0</v>
      </c>
      <c r="P29" s="14"/>
      <c r="Q29" s="14"/>
      <c r="R29" s="14"/>
      <c r="S29" s="14"/>
    </row>
    <row r="30" spans="1:49" ht="21" customHeight="1">
      <c r="A30" s="388" t="s">
        <v>42</v>
      </c>
      <c r="B30" s="388"/>
      <c r="C30" s="388"/>
      <c r="D30" s="14">
        <f>SUM(U10:U15)</f>
        <v>0</v>
      </c>
      <c r="E30" s="14">
        <f>SUM(X10:X15)</f>
        <v>0</v>
      </c>
      <c r="F30" s="14">
        <f>SUM(AA10:AA15)</f>
        <v>0</v>
      </c>
      <c r="G30" s="14">
        <f>SUM(AD10:AD15)</f>
        <v>0</v>
      </c>
      <c r="H30" s="14">
        <f>SUM(AG10:AG15)</f>
        <v>0</v>
      </c>
      <c r="I30" s="14">
        <f>SUM(AJ10:AJ15)</f>
        <v>0</v>
      </c>
      <c r="J30" s="14">
        <f>SUM(AM10:AM15)</f>
        <v>0</v>
      </c>
      <c r="K30" s="14">
        <f>SUM(AP10:AP15)</f>
        <v>0</v>
      </c>
      <c r="L30" s="14">
        <f>SUM(AS10:AS15)</f>
        <v>0</v>
      </c>
      <c r="M30" s="14">
        <f>SUM(AT10:AT15)</f>
        <v>0</v>
      </c>
      <c r="N30" s="14">
        <f>SUM(AU10:AU15)</f>
        <v>0</v>
      </c>
      <c r="O30" s="14">
        <f>SUM(AV10:AV15)</f>
        <v>0</v>
      </c>
      <c r="P30" s="14"/>
      <c r="Q30" s="14"/>
      <c r="R30" s="14"/>
      <c r="S30" s="14"/>
    </row>
    <row r="31" spans="1:49" ht="21" customHeight="1">
      <c r="A31" s="388" t="s">
        <v>43</v>
      </c>
      <c r="B31" s="388"/>
      <c r="C31" s="388"/>
      <c r="D31" s="14">
        <f>SUM(V10:V15)</f>
        <v>0</v>
      </c>
      <c r="E31" s="14">
        <f>SUM(Y10:Y15)</f>
        <v>0</v>
      </c>
      <c r="F31" s="14">
        <f>SUM(AB10:AB15)</f>
        <v>0</v>
      </c>
      <c r="G31" s="14">
        <f>SUM(AE10:AE15)</f>
        <v>0</v>
      </c>
      <c r="H31" s="14">
        <f>SUM(AH10:AH15)</f>
        <v>0</v>
      </c>
      <c r="I31" s="14">
        <f>SUM(AK10:AK15)</f>
        <v>0</v>
      </c>
      <c r="J31" s="14">
        <f>SUM(AN10:AN15)</f>
        <v>0</v>
      </c>
      <c r="K31" s="14">
        <f>SUM(AQ10:AQ15)</f>
        <v>0</v>
      </c>
      <c r="L31" s="14">
        <f>SUM(AT10:AT15)</f>
        <v>0</v>
      </c>
      <c r="M31" s="14">
        <f t="shared" ref="M31:O31" si="34">SUM(AU10:AU15)</f>
        <v>0</v>
      </c>
      <c r="N31" s="14">
        <f t="shared" si="34"/>
        <v>0</v>
      </c>
      <c r="O31" s="14">
        <f t="shared" si="34"/>
        <v>0</v>
      </c>
      <c r="P31" s="14"/>
      <c r="Q31" s="14"/>
      <c r="R31" s="14"/>
      <c r="S31" s="14"/>
    </row>
    <row r="32" spans="1:49" ht="15" customHeight="1">
      <c r="A32" s="11"/>
      <c r="B32" s="11"/>
      <c r="C32" s="11"/>
    </row>
    <row r="33" spans="1:19" ht="15" customHeight="1">
      <c r="A33" s="11"/>
      <c r="B33" s="11"/>
      <c r="C33" s="11"/>
    </row>
    <row r="34" spans="1:19" ht="18" customHeight="1">
      <c r="A34" s="387" t="s">
        <v>44</v>
      </c>
      <c r="B34" s="15" t="s">
        <v>41</v>
      </c>
      <c r="C34" s="13">
        <v>134</v>
      </c>
      <c r="D34" s="14">
        <f>IF(C34=0, 0, ((SUM(D29:O29)+SUM(D30:O30))/C34)*100)</f>
        <v>0</v>
      </c>
      <c r="E34" s="14" t="s">
        <v>16</v>
      </c>
    </row>
    <row r="35" spans="1:19" ht="18" customHeight="1">
      <c r="A35" s="387"/>
      <c r="B35" s="15" t="s">
        <v>46</v>
      </c>
      <c r="C35" s="13">
        <v>242</v>
      </c>
      <c r="D35" s="14">
        <f>IF(C35=0, 0, ((SUM(D31:O31))/C35)*100)</f>
        <v>0</v>
      </c>
      <c r="E35" s="14" t="s">
        <v>16</v>
      </c>
      <c r="I35" s="16"/>
    </row>
    <row r="36" spans="1:19" ht="18" customHeight="1">
      <c r="A36" s="387"/>
      <c r="B36" s="388" t="s">
        <v>48</v>
      </c>
      <c r="C36" s="388"/>
      <c r="D36" s="14">
        <f>D34+D35</f>
        <v>0</v>
      </c>
      <c r="E36" s="14" t="s">
        <v>16</v>
      </c>
    </row>
    <row r="37" spans="1:19" ht="18" customHeight="1">
      <c r="A37" s="387"/>
      <c r="B37" s="388" t="s">
        <v>47</v>
      </c>
      <c r="C37" s="388"/>
      <c r="D37" s="14">
        <v>100</v>
      </c>
      <c r="E37" s="14" t="s">
        <v>16</v>
      </c>
    </row>
    <row r="38" spans="1:19" ht="18" customHeight="1">
      <c r="A38" s="387"/>
      <c r="B38" s="388" t="s">
        <v>19</v>
      </c>
      <c r="C38" s="388"/>
      <c r="D38" s="14">
        <f>CEILING(D36 /D37, 1)</f>
        <v>0</v>
      </c>
      <c r="E38" s="16" t="s">
        <v>20</v>
      </c>
    </row>
    <row r="39" spans="1:19" ht="18" customHeight="1">
      <c r="A39" s="387" t="s">
        <v>45</v>
      </c>
      <c r="B39" s="15" t="s">
        <v>41</v>
      </c>
      <c r="C39" s="13">
        <v>154</v>
      </c>
      <c r="D39" s="14">
        <f>IF(C39=0, 0, ((SUM(D29:O29)+SUM(D30:O30))/C39)*100)</f>
        <v>0</v>
      </c>
      <c r="E39" s="14" t="s">
        <v>16</v>
      </c>
    </row>
    <row r="40" spans="1:19" ht="18" customHeight="1">
      <c r="A40" s="387"/>
      <c r="B40" s="15" t="s">
        <v>46</v>
      </c>
      <c r="C40" s="13">
        <v>278</v>
      </c>
      <c r="D40" s="14">
        <f>IF(C40=0, 0, ((SUM(D31:O31))/C40)*100)</f>
        <v>0</v>
      </c>
      <c r="E40" s="14" t="s">
        <v>16</v>
      </c>
    </row>
    <row r="41" spans="1:19" ht="18" customHeight="1">
      <c r="A41" s="387"/>
      <c r="B41" s="388" t="s">
        <v>48</v>
      </c>
      <c r="C41" s="388"/>
      <c r="D41" s="14">
        <f>D39+D40</f>
        <v>0</v>
      </c>
      <c r="E41" s="14" t="s">
        <v>16</v>
      </c>
    </row>
    <row r="42" spans="1:19" ht="18" customHeight="1">
      <c r="A42" s="387"/>
      <c r="B42" s="388" t="s">
        <v>47</v>
      </c>
      <c r="C42" s="388"/>
      <c r="D42" s="14">
        <v>100</v>
      </c>
      <c r="E42" s="14" t="s">
        <v>16</v>
      </c>
    </row>
    <row r="43" spans="1:19" ht="25.2" customHeight="1">
      <c r="A43" s="387"/>
      <c r="B43" s="388" t="s">
        <v>19</v>
      </c>
      <c r="C43" s="388"/>
      <c r="D43" s="14">
        <f>CEILING(D41 /D42, 1)</f>
        <v>0</v>
      </c>
      <c r="E43" s="16" t="s">
        <v>20</v>
      </c>
    </row>
    <row r="44" spans="1:19" ht="25.2" customHeight="1">
      <c r="A44" s="1"/>
      <c r="B44" s="11"/>
      <c r="C44" s="11"/>
      <c r="E44" s="12"/>
    </row>
    <row r="45" spans="1:19" ht="4.95" customHeight="1">
      <c r="A45" s="1"/>
      <c r="B45" s="11"/>
      <c r="C45" s="11"/>
      <c r="E45" s="12"/>
    </row>
    <row r="46" spans="1:19" ht="21" customHeight="1">
      <c r="A46" s="387" t="s">
        <v>15</v>
      </c>
      <c r="B46" s="389"/>
      <c r="C46" s="13" t="s">
        <v>49</v>
      </c>
      <c r="D46" s="387" t="s">
        <v>53</v>
      </c>
      <c r="E46" s="387"/>
      <c r="F46" s="387"/>
      <c r="G46" s="387" t="s">
        <v>54</v>
      </c>
      <c r="H46" s="387"/>
      <c r="I46" s="387"/>
      <c r="J46" s="374" t="s">
        <v>55</v>
      </c>
      <c r="K46" s="375"/>
      <c r="L46" s="375"/>
      <c r="M46" s="375"/>
      <c r="N46" s="375"/>
      <c r="O46" s="376"/>
      <c r="P46" s="17"/>
      <c r="Q46" s="377" t="s">
        <v>60</v>
      </c>
      <c r="R46" s="378"/>
    </row>
    <row r="47" spans="1:19" ht="21" customHeight="1">
      <c r="A47" s="382" t="s">
        <v>50</v>
      </c>
      <c r="B47" s="383"/>
      <c r="C47" s="14"/>
      <c r="D47" s="374"/>
      <c r="E47" s="375"/>
      <c r="F47" s="376"/>
      <c r="G47" s="374"/>
      <c r="H47" s="375"/>
      <c r="I47" s="376"/>
      <c r="J47" s="384"/>
      <c r="K47" s="385"/>
      <c r="L47" s="385"/>
      <c r="M47" s="385"/>
      <c r="N47" s="385"/>
      <c r="O47" s="386"/>
      <c r="P47" s="18"/>
      <c r="Q47" s="22" t="s">
        <v>56</v>
      </c>
      <c r="R47" s="23" t="s">
        <v>57</v>
      </c>
      <c r="S47" s="5"/>
    </row>
    <row r="48" spans="1:19" ht="21" customHeight="1">
      <c r="A48" s="382" t="s">
        <v>51</v>
      </c>
      <c r="B48" s="383"/>
      <c r="C48" s="14"/>
      <c r="D48" s="374"/>
      <c r="E48" s="375"/>
      <c r="F48" s="376"/>
      <c r="G48" s="374"/>
      <c r="H48" s="375"/>
      <c r="I48" s="376"/>
      <c r="J48" s="384"/>
      <c r="K48" s="385"/>
      <c r="L48" s="385"/>
      <c r="M48" s="385"/>
      <c r="N48" s="385"/>
      <c r="O48" s="386"/>
      <c r="P48" s="18"/>
      <c r="Q48" s="22" t="s">
        <v>58</v>
      </c>
      <c r="R48" s="23" t="s">
        <v>57</v>
      </c>
      <c r="S48" s="19"/>
    </row>
    <row r="49" spans="1:19" ht="21" customHeight="1">
      <c r="A49" s="382" t="s">
        <v>52</v>
      </c>
      <c r="B49" s="382"/>
      <c r="C49" s="14"/>
      <c r="D49" s="374"/>
      <c r="E49" s="375"/>
      <c r="F49" s="376"/>
      <c r="G49" s="374"/>
      <c r="H49" s="375"/>
      <c r="I49" s="376"/>
      <c r="J49" s="384"/>
      <c r="K49" s="385"/>
      <c r="L49" s="385"/>
      <c r="M49" s="385"/>
      <c r="N49" s="385"/>
      <c r="O49" s="386"/>
      <c r="P49" s="18"/>
      <c r="Q49" s="20" t="s">
        <v>59</v>
      </c>
      <c r="R49" s="21" t="s">
        <v>57</v>
      </c>
      <c r="S49" s="19"/>
    </row>
    <row r="50" spans="1:19" ht="15" customHeight="1">
      <c r="Q50" s="19"/>
      <c r="R50" s="19"/>
      <c r="S50" s="19"/>
    </row>
  </sheetData>
  <mergeCells count="61">
    <mergeCell ref="B1:O1"/>
    <mergeCell ref="Q1:S1"/>
    <mergeCell ref="Q3:S4"/>
    <mergeCell ref="A6:B8"/>
    <mergeCell ref="C6:S6"/>
    <mergeCell ref="L8:L9"/>
    <mergeCell ref="S8:S9"/>
    <mergeCell ref="A29:C29"/>
    <mergeCell ref="D8:D9"/>
    <mergeCell ref="C7:C9"/>
    <mergeCell ref="E8:E9"/>
    <mergeCell ref="F8:F9"/>
    <mergeCell ref="D7:S7"/>
    <mergeCell ref="AL8:AN8"/>
    <mergeCell ref="AO8:AQ8"/>
    <mergeCell ref="AR8:AT8"/>
    <mergeCell ref="AU8:AW8"/>
    <mergeCell ref="A28:B28"/>
    <mergeCell ref="T8:V8"/>
    <mergeCell ref="W8:Y8"/>
    <mergeCell ref="Z8:AB8"/>
    <mergeCell ref="AC8:AE8"/>
    <mergeCell ref="AF8:AH8"/>
    <mergeCell ref="AI8:AK8"/>
    <mergeCell ref="G8:G9"/>
    <mergeCell ref="H8:H9"/>
    <mergeCell ref="I8:I9"/>
    <mergeCell ref="J8:J9"/>
    <mergeCell ref="K8:K9"/>
    <mergeCell ref="A30:C30"/>
    <mergeCell ref="A31:C31"/>
    <mergeCell ref="A34:A38"/>
    <mergeCell ref="B36:C36"/>
    <mergeCell ref="B37:C37"/>
    <mergeCell ref="B38:C38"/>
    <mergeCell ref="A47:B47"/>
    <mergeCell ref="A48:B48"/>
    <mergeCell ref="A49:B49"/>
    <mergeCell ref="J49:O49"/>
    <mergeCell ref="A39:A43"/>
    <mergeCell ref="B41:C41"/>
    <mergeCell ref="B42:C42"/>
    <mergeCell ref="B43:C43"/>
    <mergeCell ref="A46:B46"/>
    <mergeCell ref="D46:F46"/>
    <mergeCell ref="J47:O47"/>
    <mergeCell ref="J48:O48"/>
    <mergeCell ref="G46:I46"/>
    <mergeCell ref="D47:F47"/>
    <mergeCell ref="D48:F48"/>
    <mergeCell ref="D49:F49"/>
    <mergeCell ref="G47:I47"/>
    <mergeCell ref="G48:I48"/>
    <mergeCell ref="G49:I49"/>
    <mergeCell ref="Q46:R46"/>
    <mergeCell ref="Q8:Q9"/>
    <mergeCell ref="R8:R9"/>
    <mergeCell ref="O8:O9"/>
    <mergeCell ref="J46:O46"/>
    <mergeCell ref="M8:M9"/>
    <mergeCell ref="N8:N9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2F59-BE09-4F9C-81D2-26BAD193372A}">
  <dimension ref="D11:F17"/>
  <sheetViews>
    <sheetView workbookViewId="0">
      <selection activeCell="D15" sqref="D15"/>
    </sheetView>
  </sheetViews>
  <sheetFormatPr defaultRowHeight="14.4"/>
  <cols>
    <col min="4" max="4" width="30" customWidth="1"/>
    <col min="5" max="5" width="33.6640625" customWidth="1"/>
  </cols>
  <sheetData>
    <row r="11" spans="4:6" ht="15" thickBot="1"/>
    <row r="12" spans="4:6">
      <c r="D12" s="399" t="s">
        <v>119</v>
      </c>
      <c r="E12" s="55" t="s">
        <v>120</v>
      </c>
      <c r="F12" s="56"/>
    </row>
    <row r="13" spans="4:6" ht="18" customHeight="1" thickBot="1">
      <c r="D13" s="400"/>
      <c r="E13" s="57" t="s">
        <v>125</v>
      </c>
      <c r="F13" s="56"/>
    </row>
    <row r="14" spans="4:6" ht="15" thickBot="1">
      <c r="D14" s="401"/>
      <c r="E14" s="58" t="s">
        <v>121</v>
      </c>
      <c r="F14" s="56"/>
    </row>
    <row r="15" spans="4:6" ht="17.399999999999999" customHeight="1" thickBot="1">
      <c r="D15" s="59" t="s">
        <v>122</v>
      </c>
      <c r="E15" s="60" t="s">
        <v>123</v>
      </c>
      <c r="F15" s="56"/>
    </row>
    <row r="16" spans="4:6" ht="15" thickBot="1">
      <c r="D16" s="59" t="s">
        <v>124</v>
      </c>
      <c r="E16" s="60" t="s">
        <v>123</v>
      </c>
      <c r="F16" s="56"/>
    </row>
    <row r="17" spans="4:6" ht="23.4">
      <c r="D17" s="3"/>
      <c r="E17" s="3"/>
      <c r="F17" s="3"/>
    </row>
  </sheetData>
  <mergeCells count="1"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บางบัวทอง-ผลิต</vt:lpstr>
      <vt:lpstr>บางบัวทอง-ผลิต (2)</vt:lpstr>
      <vt:lpstr>บางบัวทอง-ผลิต (4)</vt:lpstr>
      <vt:lpstr>บางบัวทอง-รถ</vt:lpstr>
      <vt:lpstr>Sheet2</vt:lpstr>
      <vt:lpstr>'บางบัวทอง-ผลิต'!Print_Area</vt:lpstr>
      <vt:lpstr>'บางบัวทอง-ผลิต (2)'!Print_Area</vt:lpstr>
      <vt:lpstr>'บางบัวทอง-ผลิต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2026-09-07T22:52:55Z</cp:lastPrinted>
  <dcterms:created xsi:type="dcterms:W3CDTF">2025-08-23T13:26:05Z</dcterms:created>
  <dcterms:modified xsi:type="dcterms:W3CDTF">2026-09-08T03:54:58Z</dcterms:modified>
</cp:coreProperties>
</file>