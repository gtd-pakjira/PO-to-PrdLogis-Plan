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13_ncr:1_{D1E3F99F-3E25-4695-BCB8-DCA802E4B74F}" xr6:coauthVersionLast="47" xr6:coauthVersionMax="47" xr10:uidLastSave="{00000000-0000-0000-0000-000000000000}"/>
  <bookViews>
    <workbookView xWindow="-108" yWindow="-108" windowWidth="23256" windowHeight="13896" tabRatio="456" xr2:uid="{00000000-000D-0000-FFFF-FFFF00000000}"/>
  </bookViews>
  <sheets>
    <sheet name="แพลน 7-11" sheetId="11" r:id="rId1"/>
  </sheets>
  <definedNames>
    <definedName name="_xlnm.Print_Area" localSheetId="0">'แพลน 7-11'!$C$5:$R$86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11" l="1"/>
  <c r="H48" i="11"/>
  <c r="I48" i="11"/>
  <c r="J48" i="11"/>
  <c r="K48" i="11"/>
  <c r="L48" i="11"/>
  <c r="H84" i="11"/>
  <c r="I84" i="11"/>
  <c r="J84" i="11"/>
  <c r="K84" i="11"/>
  <c r="L84" i="11"/>
  <c r="M84" i="11"/>
  <c r="N84" i="11"/>
  <c r="O84" i="11"/>
  <c r="P84" i="11"/>
  <c r="Q84" i="11"/>
  <c r="G84" i="11"/>
  <c r="O86" i="11"/>
  <c r="S84" i="11" s="1"/>
  <c r="R84" i="11"/>
  <c r="R83" i="11"/>
  <c r="O30" i="11"/>
  <c r="S28" i="11" s="1"/>
  <c r="O26" i="11"/>
  <c r="S24" i="11" s="1"/>
  <c r="H28" i="11"/>
  <c r="I28" i="11"/>
  <c r="J28" i="11"/>
  <c r="K28" i="11"/>
  <c r="L28" i="11"/>
  <c r="M28" i="11"/>
  <c r="N28" i="11"/>
  <c r="O28" i="11"/>
  <c r="P28" i="11"/>
  <c r="Q28" i="11"/>
  <c r="G28" i="11"/>
  <c r="H24" i="11"/>
  <c r="I24" i="11"/>
  <c r="J24" i="11"/>
  <c r="K24" i="11"/>
  <c r="L24" i="11"/>
  <c r="M24" i="11"/>
  <c r="N24" i="11"/>
  <c r="O24" i="11"/>
  <c r="P24" i="11"/>
  <c r="Q24" i="11"/>
  <c r="G24" i="11"/>
  <c r="R24" i="11"/>
  <c r="R23" i="11"/>
  <c r="R28" i="11"/>
  <c r="R27" i="11"/>
  <c r="R11" i="11"/>
  <c r="H72" i="11" l="1"/>
  <c r="I72" i="11"/>
  <c r="J72" i="11"/>
  <c r="K72" i="11"/>
  <c r="L72" i="11"/>
  <c r="M72" i="11"/>
  <c r="N72" i="11"/>
  <c r="O72" i="11"/>
  <c r="P72" i="11"/>
  <c r="Q72" i="11"/>
  <c r="G72" i="11"/>
  <c r="H80" i="11"/>
  <c r="I80" i="11"/>
  <c r="J80" i="11"/>
  <c r="K80" i="11"/>
  <c r="L80" i="11"/>
  <c r="M80" i="11"/>
  <c r="N80" i="11"/>
  <c r="O80" i="11"/>
  <c r="P80" i="11"/>
  <c r="Q80" i="11"/>
  <c r="G80" i="11"/>
  <c r="O82" i="11" l="1"/>
  <c r="S80" i="11" s="1"/>
  <c r="R80" i="11"/>
  <c r="R79" i="11"/>
  <c r="G40" i="11"/>
  <c r="H40" i="11"/>
  <c r="I40" i="11"/>
  <c r="J40" i="11"/>
  <c r="K40" i="11"/>
  <c r="L40" i="11"/>
  <c r="M40" i="11"/>
  <c r="N40" i="11"/>
  <c r="O40" i="11"/>
  <c r="P40" i="11"/>
  <c r="Q40" i="11"/>
  <c r="O42" i="11"/>
  <c r="S40" i="11" s="1"/>
  <c r="R40" i="11"/>
  <c r="R39" i="11"/>
  <c r="R43" i="11" l="1"/>
  <c r="H68" i="11"/>
  <c r="I68" i="11"/>
  <c r="J68" i="11"/>
  <c r="K68" i="11"/>
  <c r="L68" i="11"/>
  <c r="M68" i="11"/>
  <c r="G68" i="11"/>
  <c r="L56" i="11" l="1"/>
  <c r="L52" i="11"/>
  <c r="L60" i="11"/>
  <c r="K64" i="11"/>
  <c r="G64" i="11"/>
  <c r="H36" i="11" l="1"/>
  <c r="I36" i="11"/>
  <c r="J36" i="11"/>
  <c r="K36" i="11"/>
  <c r="L36" i="11"/>
  <c r="M36" i="11"/>
  <c r="N36" i="11"/>
  <c r="O36" i="11"/>
  <c r="P36" i="11"/>
  <c r="Q36" i="11"/>
  <c r="G36" i="11"/>
  <c r="O38" i="11"/>
  <c r="S36" i="11" s="1"/>
  <c r="R36" i="11"/>
  <c r="R35" i="11"/>
  <c r="H60" i="11"/>
  <c r="I60" i="11"/>
  <c r="J60" i="11"/>
  <c r="K60" i="11"/>
  <c r="M60" i="11"/>
  <c r="N60" i="11"/>
  <c r="O60" i="11"/>
  <c r="P60" i="11"/>
  <c r="Q60" i="11"/>
  <c r="G60" i="11"/>
  <c r="O62" i="11" l="1"/>
  <c r="S60" i="11" s="1"/>
  <c r="R60" i="11"/>
  <c r="R59" i="11"/>
  <c r="H76" i="11" l="1"/>
  <c r="I76" i="11"/>
  <c r="J76" i="11"/>
  <c r="K76" i="11"/>
  <c r="L76" i="11"/>
  <c r="M76" i="11"/>
  <c r="N76" i="11"/>
  <c r="O76" i="11"/>
  <c r="P76" i="11"/>
  <c r="Q76" i="11"/>
  <c r="G76" i="11"/>
  <c r="O78" i="11"/>
  <c r="S76" i="11" s="1"/>
  <c r="R76" i="11"/>
  <c r="R75" i="11"/>
  <c r="O74" i="11"/>
  <c r="S72" i="11" s="1"/>
  <c r="R72" i="11"/>
  <c r="R71" i="11"/>
  <c r="H52" i="11"/>
  <c r="I52" i="11"/>
  <c r="J52" i="11"/>
  <c r="K52" i="11"/>
  <c r="M52" i="11"/>
  <c r="N52" i="11"/>
  <c r="O52" i="11"/>
  <c r="P52" i="11"/>
  <c r="Q52" i="11"/>
  <c r="G52" i="11"/>
  <c r="O54" i="11"/>
  <c r="S52" i="11" s="1"/>
  <c r="R52" i="11"/>
  <c r="R51" i="11"/>
  <c r="H32" i="11"/>
  <c r="I32" i="11"/>
  <c r="J32" i="11"/>
  <c r="K32" i="11"/>
  <c r="L32" i="11"/>
  <c r="M32" i="11"/>
  <c r="N32" i="11"/>
  <c r="O32" i="11"/>
  <c r="P32" i="11"/>
  <c r="Q32" i="11"/>
  <c r="G32" i="11"/>
  <c r="R15" i="11" l="1"/>
  <c r="N56" i="11"/>
  <c r="N20" i="11"/>
  <c r="L44" i="11"/>
  <c r="O34" i="11"/>
  <c r="G12" i="11"/>
  <c r="O50" i="11"/>
  <c r="S48" i="11" s="1"/>
  <c r="L64" i="11"/>
  <c r="K56" i="11"/>
  <c r="N68" i="11"/>
  <c r="O68" i="11"/>
  <c r="P68" i="11"/>
  <c r="Q68" i="11"/>
  <c r="O70" i="11"/>
  <c r="S68" i="11" s="1"/>
  <c r="R68" i="11"/>
  <c r="R67" i="11"/>
  <c r="M12" i="11"/>
  <c r="Q12" i="11"/>
  <c r="R56" i="11"/>
  <c r="K44" i="11"/>
  <c r="R64" i="11"/>
  <c r="H64" i="11"/>
  <c r="I64" i="11"/>
  <c r="J64" i="11"/>
  <c r="M64" i="11"/>
  <c r="N64" i="11"/>
  <c r="O64" i="11"/>
  <c r="P64" i="11"/>
  <c r="Q64" i="11"/>
  <c r="O66" i="11"/>
  <c r="S64" i="11" s="1"/>
  <c r="R63" i="11"/>
  <c r="H56" i="11"/>
  <c r="I56" i="11"/>
  <c r="J56" i="11"/>
  <c r="M56" i="11"/>
  <c r="O56" i="11"/>
  <c r="P56" i="11"/>
  <c r="Q56" i="11"/>
  <c r="G56" i="11"/>
  <c r="R55" i="11"/>
  <c r="G44" i="11"/>
  <c r="M48" i="11"/>
  <c r="N48" i="11"/>
  <c r="O48" i="11"/>
  <c r="P48" i="11"/>
  <c r="Q48" i="11"/>
  <c r="H44" i="11"/>
  <c r="I44" i="11"/>
  <c r="J44" i="11"/>
  <c r="M44" i="11"/>
  <c r="N44" i="11"/>
  <c r="O44" i="11"/>
  <c r="P44" i="11"/>
  <c r="Q44" i="11"/>
  <c r="H20" i="11"/>
  <c r="I20" i="11"/>
  <c r="J20" i="11"/>
  <c r="K20" i="11"/>
  <c r="L20" i="11"/>
  <c r="M20" i="11"/>
  <c r="O20" i="11"/>
  <c r="P20" i="11"/>
  <c r="Q20" i="11"/>
  <c r="H16" i="11"/>
  <c r="I16" i="11"/>
  <c r="J16" i="11"/>
  <c r="K16" i="11"/>
  <c r="L16" i="11"/>
  <c r="M16" i="11"/>
  <c r="N16" i="11"/>
  <c r="O16" i="11"/>
  <c r="P16" i="11"/>
  <c r="Q16" i="11"/>
  <c r="H12" i="11"/>
  <c r="I12" i="11"/>
  <c r="J12" i="11"/>
  <c r="K12" i="11"/>
  <c r="L12" i="11"/>
  <c r="N12" i="11"/>
  <c r="O12" i="11"/>
  <c r="P12" i="11"/>
  <c r="R48" i="11"/>
  <c r="O58" i="11" l="1"/>
  <c r="S56" i="11" s="1"/>
  <c r="R47" i="11"/>
  <c r="O22" i="11"/>
  <c r="O46" i="11"/>
  <c r="R12" i="11" l="1"/>
  <c r="R16" i="11"/>
  <c r="G20" i="11" l="1"/>
  <c r="G16" i="11" l="1"/>
  <c r="R32" i="11" l="1"/>
  <c r="R31" i="11"/>
  <c r="R44" i="11" l="1"/>
  <c r="R20" i="11"/>
  <c r="S44" i="11" l="1"/>
  <c r="S20" i="11" l="1"/>
  <c r="O18" i="11"/>
  <c r="S16" i="11" s="1"/>
  <c r="O14" i="11"/>
  <c r="S12" i="11" s="1"/>
  <c r="R19" i="11" l="1"/>
  <c r="S32" i="11"/>
</calcChain>
</file>

<file path=xl/sharedStrings.xml><?xml version="1.0" encoding="utf-8"?>
<sst xmlns="http://schemas.openxmlformats.org/spreadsheetml/2006/main" count="125" uniqueCount="85">
  <si>
    <t>สุวรรณภูมิ</t>
  </si>
  <si>
    <t>บรรจุ/ตก.</t>
  </si>
  <si>
    <t>องุ่นแดงนอกมีเมล็ด 200 กรัม x 32 P</t>
  </si>
  <si>
    <t>ยอดรวม</t>
  </si>
  <si>
    <t>ขอนแก่น</t>
  </si>
  <si>
    <t>เชียงใหม่</t>
  </si>
  <si>
    <t>ภูเก็ต</t>
  </si>
  <si>
    <t>หาดใหญ่</t>
  </si>
  <si>
    <t>ยอดคืน</t>
  </si>
  <si>
    <t>บางบัวทอง</t>
  </si>
  <si>
    <t>ชลบุรี</t>
  </si>
  <si>
    <t>นครสวรรค์</t>
  </si>
  <si>
    <t>มหาชัย</t>
  </si>
  <si>
    <t>22.00-02.30</t>
  </si>
  <si>
    <t>20.00-20.30</t>
  </si>
  <si>
    <t>19.00-19.30</t>
  </si>
  <si>
    <t>ตี 01.00</t>
  </si>
  <si>
    <t>แพค</t>
  </si>
  <si>
    <t>บาร์ระบุวันผลิต</t>
  </si>
  <si>
    <t>⬅️ยอดสั่งตาม PO</t>
  </si>
  <si>
    <t>แพลนผลิต 7-11</t>
  </si>
  <si>
    <t>ราคา</t>
  </si>
  <si>
    <t>องุ่นแดงไร้เมล็ด 300 g. x 20 p (จีน)</t>
  </si>
  <si>
    <t>รอบเช้า ต่างจังหวัด</t>
  </si>
  <si>
    <t>นครราขสีมา</t>
  </si>
  <si>
    <t xml:space="preserve">Red Seed 200 g. x 32 P   /          </t>
  </si>
  <si>
    <t xml:space="preserve">Washington  x 45 P        /           </t>
  </si>
  <si>
    <t xml:space="preserve">Red Seedless 300  g.  x 20 P /    </t>
  </si>
  <si>
    <t xml:space="preserve">Berry Duo 160g.  x 32 P  /    </t>
  </si>
  <si>
    <t xml:space="preserve">Blue  125 g. x 36 P /                </t>
  </si>
  <si>
    <t>8859388010239                (ยอดเผื่อ)</t>
  </si>
  <si>
    <t>8859388001084                  (ยอดเผื่อ)</t>
  </si>
  <si>
    <t>8859388000759                (ยอดเผื่อ)</t>
  </si>
  <si>
    <t>2003009720007                  (ยอดเผื่อ)</t>
  </si>
  <si>
    <t>8859388007000                (ยอดเผื่อ)</t>
  </si>
  <si>
    <t>สาลี่ทอง แพ็ก 2 ผล x 15 P</t>
  </si>
  <si>
    <t>Pear x 15 P</t>
  </si>
  <si>
    <t>8859388010284        (ยอดเผื่อ)</t>
  </si>
  <si>
    <t>8859388000100                  (ยอดเผื่อ)</t>
  </si>
  <si>
    <t>องุ่นดำไร้เมล็ด 300 กรัม x20P</t>
  </si>
  <si>
    <t>Black Grapes Seedless 300  g.  x 20 P</t>
  </si>
  <si>
    <t>11.00</t>
  </si>
  <si>
    <t>13.00</t>
  </si>
  <si>
    <t>14.00</t>
  </si>
  <si>
    <t>10.00</t>
  </si>
  <si>
    <t>องุ่นดำไร้เมล็ด 150 กรัม x36P</t>
  </si>
  <si>
    <t>Black Grapes Seedless 150  g.  x 36 P</t>
  </si>
  <si>
    <t>8859388000025    (ยอดเผื่อ)</t>
  </si>
  <si>
    <t>08.00</t>
  </si>
  <si>
    <t>สุราษร์</t>
  </si>
  <si>
    <t xml:space="preserve">เบอร์รี่ดูโอ้ 160 กรัม x 32 P </t>
  </si>
  <si>
    <t>แอปเปิ้ลแดงวอชิงตันลูกเดี่ยว x 45 P</t>
  </si>
  <si>
    <t>องุ่นเคียวโฮ 300 กรัม x 15 P</t>
  </si>
  <si>
    <t>88859388000063      (ยอดเผื่อ)</t>
  </si>
  <si>
    <t>Kyoho Grape300gx 15 P</t>
  </si>
  <si>
    <t>8859388008885    (ยอดเผื่อ)</t>
  </si>
  <si>
    <t>องุ่นไซน์มัสแคท 300 กรัม x 15 P</t>
  </si>
  <si>
    <t>Shone muscat 300 g x15P</t>
  </si>
  <si>
    <t>8859388000018        (ยอดเผื่อ)</t>
  </si>
  <si>
    <t>เชอร์รี่สดนำเข้า 150 กรัม x 36</t>
  </si>
  <si>
    <t>Cherry150 g x 36 P  อเมริกา</t>
  </si>
  <si>
    <t>Red Seedless 150 g. x 32 P /     (จีน)</t>
  </si>
  <si>
    <t>องุ่นแดงไร้เมล็ด150ก. x 32 Pไข่ปลา</t>
  </si>
  <si>
    <t>ลูกไหนจิ๋ว 200 กรัม x 27 P</t>
  </si>
  <si>
    <t>88593988001091               (ยอดเผื่อ)</t>
  </si>
  <si>
    <t xml:space="preserve">Plum 200  g.  x 27 P /    </t>
  </si>
  <si>
    <t>องุ่นสวีทแซฟไฟร์ 300 กรัม x 15 P</t>
  </si>
  <si>
    <t>Sweet Sapphire 300gx 15 P</t>
  </si>
  <si>
    <t>8859388000223     (ยอดเผื่อ)</t>
  </si>
  <si>
    <t>พุทราจีน 200 กรัม x 27 P</t>
  </si>
  <si>
    <t>8859388000087            (ยอดเผื่อ)</t>
  </si>
  <si>
    <t>Jujube 200g.x 27 P /     (จีน)</t>
  </si>
  <si>
    <t>บลูเบอร์รี่ 125 กรัม x 36 P  เปรู</t>
  </si>
  <si>
    <t>2003009710008                  (ยอดเผื่อ)</t>
  </si>
  <si>
    <t>สตรอว์เบอร์รี 250 กรัม x 27</t>
  </si>
  <si>
    <t>Straw   250 g. x 27 P /  AUS</t>
  </si>
  <si>
    <t>ส้ม แพ็ก 4 ผล  x 14 P</t>
  </si>
  <si>
    <t>8859388000445        (ยอดเผื่อ)</t>
  </si>
  <si>
    <t>แอปเปิ้ล แพ็ก 4 ผล  x 14 P</t>
  </si>
  <si>
    <t>8859388000568        (ยอดเผื่อ)</t>
  </si>
  <si>
    <t>สาลี่ทอง แพ็ก 4 ผล (800g.)x 8 P</t>
  </si>
  <si>
    <t>Pear x 8 P</t>
  </si>
  <si>
    <t>8859388010277   (ยอดเผื่อ)</t>
  </si>
  <si>
    <r>
      <t>วันที่ 18/08/69 ส่ง</t>
    </r>
    <r>
      <rPr>
        <b/>
        <u/>
        <sz val="52"/>
        <color rgb="FFC00000"/>
        <rFont val="Arial Narrow"/>
        <family val="2"/>
      </rPr>
      <t xml:space="preserve"> PO 19/08/69</t>
    </r>
  </si>
  <si>
    <r>
      <t>วันที่ 19/08/69 ส่ง</t>
    </r>
    <r>
      <rPr>
        <b/>
        <u/>
        <sz val="52"/>
        <color rgb="FFC00000"/>
        <rFont val="Arial Narrow"/>
        <family val="2"/>
      </rPr>
      <t xml:space="preserve"> PO 19/08/69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</si>
</sst>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6"/>
      <color rgb="FFFF0000"/>
      <name val="Angsana New"/>
      <family val="1"/>
      <charset val="222"/>
    </font>
    <font>
      <sz val="16"/>
      <color theme="6"/>
      <name val="Angsana New"/>
      <family val="1"/>
      <charset val="222"/>
    </font>
    <font>
      <sz val="25"/>
      <color theme="1"/>
      <name val="Angsana New"/>
      <family val="1"/>
      <charset val="222"/>
    </font>
    <font>
      <sz val="40"/>
      <color theme="1"/>
      <name val="Cordia New"/>
      <family val="2"/>
    </font>
    <font>
      <b/>
      <sz val="72"/>
      <color theme="3"/>
      <name val="Arial Narrow"/>
      <family val="2"/>
    </font>
    <font>
      <b/>
      <sz val="18"/>
      <name val="Arial Narrow"/>
      <family val="2"/>
    </font>
    <font>
      <b/>
      <sz val="35"/>
      <color theme="1"/>
      <name val="Arial Narrow"/>
      <family val="2"/>
    </font>
    <font>
      <b/>
      <sz val="35"/>
      <color rgb="FF7030A0"/>
      <name val="Arial Narrow"/>
      <family val="2"/>
    </font>
    <font>
      <b/>
      <sz val="35"/>
      <color theme="9" tint="-0.249977111117893"/>
      <name val="Arial Narrow"/>
      <family val="2"/>
    </font>
    <font>
      <b/>
      <sz val="35"/>
      <color rgb="FF00B050"/>
      <name val="Arial Narrow"/>
      <family val="2"/>
    </font>
    <font>
      <b/>
      <sz val="35"/>
      <color rgb="FF002060"/>
      <name val="Arial Narrow"/>
      <family val="2"/>
    </font>
    <font>
      <b/>
      <sz val="40"/>
      <color rgb="FFFF0000"/>
      <name val="Arial Narrow"/>
      <family val="2"/>
    </font>
    <font>
      <b/>
      <sz val="40"/>
      <color rgb="FF7030A0"/>
      <name val="Arial Narrow"/>
      <family val="2"/>
    </font>
    <font>
      <b/>
      <sz val="40"/>
      <color rgb="FF000000"/>
      <name val="Arial Narrow"/>
      <family val="2"/>
    </font>
    <font>
      <b/>
      <u/>
      <sz val="52"/>
      <color rgb="FF002060"/>
      <name val="Arial Narrow"/>
      <family val="2"/>
    </font>
    <font>
      <b/>
      <u/>
      <sz val="52"/>
      <color rgb="FFC00000"/>
      <name val="Arial Narrow"/>
      <family val="2"/>
    </font>
    <font>
      <sz val="40"/>
      <color theme="1"/>
      <name val="Angsana New"/>
      <family val="1"/>
      <charset val="222"/>
    </font>
    <font>
      <sz val="40"/>
      <color theme="6"/>
      <name val="Angsana New"/>
      <family val="1"/>
      <charset val="222"/>
    </font>
    <font>
      <b/>
      <u/>
      <sz val="35"/>
      <color theme="3"/>
      <name val="Arial Narrow"/>
      <family val="2"/>
      <charset val="222"/>
    </font>
    <font>
      <b/>
      <sz val="35"/>
      <color theme="6"/>
      <name val="Arial Narrow"/>
      <family val="2"/>
      <charset val="222"/>
    </font>
    <font>
      <b/>
      <sz val="50"/>
      <color rgb="FF0000FF"/>
      <name val="Arial Narrow"/>
      <family val="2"/>
    </font>
    <font>
      <b/>
      <sz val="50"/>
      <color rgb="FFFF0000"/>
      <name val="Arial Narrow"/>
      <family val="2"/>
    </font>
    <font>
      <sz val="45"/>
      <color theme="1"/>
      <name val="Angsana New"/>
      <family val="1"/>
      <charset val="222"/>
    </font>
    <font>
      <b/>
      <sz val="45"/>
      <color theme="3"/>
      <name val="Arial Narrow"/>
      <family val="2"/>
      <charset val="222"/>
    </font>
    <font>
      <b/>
      <sz val="45"/>
      <color theme="1"/>
      <name val="Arial Narrow"/>
      <family val="2"/>
      <charset val="222"/>
    </font>
    <font>
      <b/>
      <sz val="40"/>
      <name val="Arial Narrow"/>
      <family val="2"/>
    </font>
    <font>
      <b/>
      <sz val="48"/>
      <color theme="1"/>
      <name val="Arial Narrow"/>
      <family val="2"/>
    </font>
    <font>
      <b/>
      <sz val="48"/>
      <color rgb="FF000000"/>
      <name val="Arial Narrow"/>
      <family val="2"/>
    </font>
    <font>
      <b/>
      <sz val="48"/>
      <name val="Arial Narrow"/>
      <family val="2"/>
    </font>
    <font>
      <b/>
      <sz val="38"/>
      <color theme="1"/>
      <name val="Arial Narrow"/>
      <family val="2"/>
      <charset val="222"/>
    </font>
    <font>
      <b/>
      <sz val="35"/>
      <color rgb="FF00B050"/>
      <name val="Arial"/>
      <family val="2"/>
    </font>
    <font>
      <b/>
      <sz val="40"/>
      <color theme="6"/>
      <name val="Arial Narrow"/>
      <family val="2"/>
      <charset val="222"/>
    </font>
    <font>
      <b/>
      <sz val="35"/>
      <name val="Arial Narrow"/>
      <family val="2"/>
    </font>
    <font>
      <b/>
      <sz val="45"/>
      <color rgb="FF7030A0"/>
      <name val="Arial Narrow"/>
      <family val="2"/>
    </font>
    <font>
      <b/>
      <sz val="35"/>
      <color rgb="FFFF0000"/>
      <name val="Arial Narrow"/>
      <family val="2"/>
    </font>
    <font>
      <b/>
      <sz val="43"/>
      <color rgb="FF0000FF"/>
      <name val="Arial Narrow"/>
      <family val="2"/>
    </font>
    <font>
      <b/>
      <sz val="43"/>
      <color rgb="FF00B050"/>
      <name val="Arial Narrow"/>
      <family val="2"/>
    </font>
    <font>
      <b/>
      <sz val="43"/>
      <color theme="9" tint="-0.249977111117893"/>
      <name val="Arial Narrow"/>
      <family val="2"/>
    </font>
    <font>
      <b/>
      <sz val="43"/>
      <color theme="5"/>
      <name val="Arial Narrow"/>
      <family val="2"/>
    </font>
    <font>
      <b/>
      <u/>
      <sz val="43"/>
      <color rgb="FF7030A0"/>
      <name val="Arial Narrow"/>
      <family val="2"/>
    </font>
    <font>
      <b/>
      <sz val="43"/>
      <color rgb="FF00206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21" xfId="1" applyFont="1" applyBorder="1" applyAlignment="1">
      <alignment horizontal="left" vertical="center"/>
    </xf>
    <xf numFmtId="0" fontId="12" fillId="0" borderId="21" xfId="1" applyFont="1" applyBorder="1" applyAlignment="1">
      <alignment horizontal="left" vertical="center"/>
    </xf>
    <xf numFmtId="0" fontId="15" fillId="0" borderId="10" xfId="1" applyFont="1" applyBorder="1" applyAlignment="1">
      <alignment horizontal="right" vertical="center"/>
    </xf>
    <xf numFmtId="0" fontId="15" fillId="0" borderId="4" xfId="1" applyFont="1" applyBorder="1" applyAlignment="1">
      <alignment horizontal="right" vertical="center"/>
    </xf>
    <xf numFmtId="0" fontId="13" fillId="0" borderId="16" xfId="1" applyFont="1" applyBorder="1" applyAlignment="1">
      <alignment horizontal="left" vertical="center"/>
    </xf>
    <xf numFmtId="0" fontId="12" fillId="0" borderId="16" xfId="1" quotePrefix="1" applyFont="1" applyBorder="1" applyAlignment="1">
      <alignment horizontal="left" vertical="center"/>
    </xf>
    <xf numFmtId="3" fontId="17" fillId="2" borderId="1" xfId="1" applyNumberFormat="1" applyFont="1" applyFill="1" applyBorder="1" applyAlignment="1">
      <alignment horizontal="center" vertical="center"/>
    </xf>
    <xf numFmtId="3" fontId="17" fillId="5" borderId="1" xfId="1" applyNumberFormat="1" applyFont="1" applyFill="1" applyBorder="1" applyAlignment="1">
      <alignment horizontal="center" vertical="center"/>
    </xf>
    <xf numFmtId="0" fontId="15" fillId="0" borderId="14" xfId="1" applyFont="1" applyBorder="1" applyAlignment="1">
      <alignment horizontal="right" vertical="center"/>
    </xf>
    <xf numFmtId="0" fontId="12" fillId="0" borderId="16" xfId="1" applyFont="1" applyBorder="1" applyAlignment="1">
      <alignment horizontal="left" vertical="center"/>
    </xf>
    <xf numFmtId="0" fontId="14" fillId="0" borderId="16" xfId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30" fillId="3" borderId="1" xfId="1" applyNumberFormat="1" applyFont="1" applyFill="1" applyBorder="1" applyAlignment="1">
      <alignment horizontal="center" vertical="center"/>
    </xf>
    <xf numFmtId="0" fontId="31" fillId="0" borderId="15" xfId="1" applyFont="1" applyBorder="1" applyAlignment="1">
      <alignment vertical="center"/>
    </xf>
    <xf numFmtId="0" fontId="32" fillId="0" borderId="15" xfId="1" applyFont="1" applyBorder="1" applyAlignment="1">
      <alignment vertical="center"/>
    </xf>
    <xf numFmtId="0" fontId="33" fillId="0" borderId="15" xfId="1" applyFont="1" applyBorder="1" applyAlignment="1">
      <alignment horizontal="left" vertical="center"/>
    </xf>
    <xf numFmtId="0" fontId="34" fillId="0" borderId="1" xfId="1" applyFont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4" fillId="0" borderId="2" xfId="1" applyFont="1" applyBorder="1" applyAlignment="1">
      <alignment horizontal="center" vertical="center"/>
    </xf>
    <xf numFmtId="4" fontId="34" fillId="0" borderId="1" xfId="1" applyNumberFormat="1" applyFont="1" applyBorder="1" applyAlignment="1">
      <alignment horizontal="center" vertical="center"/>
    </xf>
    <xf numFmtId="3" fontId="34" fillId="0" borderId="3" xfId="1" applyNumberFormat="1" applyFont="1" applyBorder="1" applyAlignment="1">
      <alignment horizontal="center" vertical="center"/>
    </xf>
    <xf numFmtId="4" fontId="34" fillId="0" borderId="3" xfId="1" applyNumberFormat="1" applyFont="1" applyBorder="1" applyAlignment="1">
      <alignment horizontal="center" vertical="center"/>
    </xf>
    <xf numFmtId="4" fontId="34" fillId="0" borderId="2" xfId="1" applyNumberFormat="1" applyFont="1" applyBorder="1" applyAlignment="1">
      <alignment horizontal="center" vertical="center"/>
    </xf>
    <xf numFmtId="1" fontId="34" fillId="0" borderId="1" xfId="1" applyNumberFormat="1" applyFont="1" applyBorder="1" applyAlignment="1">
      <alignment horizontal="center" vertical="center"/>
    </xf>
    <xf numFmtId="1" fontId="34" fillId="0" borderId="3" xfId="1" applyNumberFormat="1" applyFont="1" applyBorder="1" applyAlignment="1">
      <alignment horizontal="center" vertical="center"/>
    </xf>
    <xf numFmtId="1" fontId="34" fillId="0" borderId="2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29" fillId="0" borderId="1" xfId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0" fontId="29" fillId="0" borderId="2" xfId="1" applyFont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35" fillId="0" borderId="16" xfId="1" applyFont="1" applyBorder="1" applyAlignment="1">
      <alignment horizontal="left" vertical="center"/>
    </xf>
    <xf numFmtId="0" fontId="36" fillId="0" borderId="1" xfId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/>
    </xf>
    <xf numFmtId="0" fontId="36" fillId="0" borderId="2" xfId="1" applyFont="1" applyBorder="1" applyAlignment="1">
      <alignment horizontal="center" vertical="center"/>
    </xf>
    <xf numFmtId="0" fontId="37" fillId="0" borderId="10" xfId="1" applyFont="1" applyBorder="1" applyAlignment="1">
      <alignment horizontal="center" vertical="center" wrapText="1"/>
    </xf>
    <xf numFmtId="0" fontId="37" fillId="4" borderId="4" xfId="1" applyFont="1" applyFill="1" applyBorder="1" applyAlignment="1">
      <alignment horizontal="center" vertical="center" wrapText="1"/>
    </xf>
    <xf numFmtId="0" fontId="37" fillId="4" borderId="2" xfId="1" applyFont="1" applyFill="1" applyBorder="1" applyAlignment="1">
      <alignment horizontal="center" vertical="center" wrapText="1"/>
    </xf>
    <xf numFmtId="0" fontId="37" fillId="4" borderId="9" xfId="1" applyFont="1" applyFill="1" applyBorder="1" applyAlignment="1">
      <alignment horizontal="center" vertical="center" wrapText="1"/>
    </xf>
    <xf numFmtId="0" fontId="37" fillId="0" borderId="0" xfId="1" applyFont="1" applyAlignment="1">
      <alignment horizontal="center" vertical="center" wrapText="1"/>
    </xf>
    <xf numFmtId="0" fontId="37" fillId="0" borderId="12" xfId="1" quotePrefix="1" applyFont="1" applyBorder="1" applyAlignment="1">
      <alignment horizontal="center" vertical="center" wrapText="1"/>
    </xf>
    <xf numFmtId="0" fontId="37" fillId="0" borderId="33" xfId="1" quotePrefix="1" applyFont="1" applyBorder="1" applyAlignment="1">
      <alignment horizontal="center" vertical="center" wrapText="1"/>
    </xf>
    <xf numFmtId="0" fontId="37" fillId="0" borderId="31" xfId="1" quotePrefix="1" applyFont="1" applyBorder="1" applyAlignment="1">
      <alignment horizontal="center" vertical="center" wrapText="1"/>
    </xf>
    <xf numFmtId="0" fontId="37" fillId="0" borderId="13" xfId="1" quotePrefix="1" applyFont="1" applyBorder="1" applyAlignment="1">
      <alignment horizontal="center" vertical="center" wrapText="1"/>
    </xf>
    <xf numFmtId="3" fontId="38" fillId="5" borderId="1" xfId="1" applyNumberFormat="1" applyFont="1" applyFill="1" applyBorder="1" applyAlignment="1">
      <alignment horizontal="center" vertical="center"/>
    </xf>
    <xf numFmtId="0" fontId="29" fillId="0" borderId="1" xfId="1" applyFont="1" applyBorder="1" applyAlignment="1">
      <alignment vertical="center"/>
    </xf>
    <xf numFmtId="0" fontId="29" fillId="0" borderId="3" xfId="1" applyFont="1" applyBorder="1" applyAlignment="1">
      <alignment vertical="center"/>
    </xf>
    <xf numFmtId="0" fontId="29" fillId="0" borderId="2" xfId="1" applyFont="1" applyBorder="1" applyAlignment="1">
      <alignment vertical="center"/>
    </xf>
    <xf numFmtId="0" fontId="40" fillId="0" borderId="19" xfId="1" applyFont="1" applyBorder="1" applyAlignment="1">
      <alignment horizontal="center" vertical="center"/>
    </xf>
    <xf numFmtId="0" fontId="40" fillId="4" borderId="19" xfId="1" applyFont="1" applyFill="1" applyBorder="1" applyAlignment="1">
      <alignment horizontal="center" vertical="center"/>
    </xf>
    <xf numFmtId="3" fontId="40" fillId="2" borderId="15" xfId="0" applyNumberFormat="1" applyFont="1" applyFill="1" applyBorder="1" applyAlignment="1">
      <alignment horizontal="center" vertical="center"/>
    </xf>
    <xf numFmtId="3" fontId="40" fillId="2" borderId="28" xfId="0" applyNumberFormat="1" applyFont="1" applyFill="1" applyBorder="1" applyAlignment="1">
      <alignment horizontal="center" vertical="center"/>
    </xf>
    <xf numFmtId="0" fontId="41" fillId="0" borderId="20" xfId="1" quotePrefix="1" applyFont="1" applyBorder="1" applyAlignment="1">
      <alignment horizontal="center" vertical="center"/>
    </xf>
    <xf numFmtId="0" fontId="41" fillId="4" borderId="20" xfId="1" quotePrefix="1" applyFont="1" applyFill="1" applyBorder="1" applyAlignment="1">
      <alignment horizontal="center" vertical="center"/>
    </xf>
    <xf numFmtId="0" fontId="41" fillId="0" borderId="16" xfId="1" quotePrefix="1" applyFont="1" applyBorder="1" applyAlignment="1">
      <alignment horizontal="center" vertical="center"/>
    </xf>
    <xf numFmtId="0" fontId="41" fillId="0" borderId="28" xfId="1" quotePrefix="1" applyFont="1" applyBorder="1" applyAlignment="1">
      <alignment horizontal="center" vertical="center"/>
    </xf>
    <xf numFmtId="0" fontId="42" fillId="0" borderId="20" xfId="1" quotePrefix="1" applyFont="1" applyBorder="1" applyAlignment="1">
      <alignment horizontal="center" vertical="center"/>
    </xf>
    <xf numFmtId="0" fontId="42" fillId="4" borderId="20" xfId="1" quotePrefix="1" applyFont="1" applyFill="1" applyBorder="1" applyAlignment="1">
      <alignment horizontal="center" vertical="center"/>
    </xf>
    <xf numFmtId="0" fontId="42" fillId="4" borderId="16" xfId="1" quotePrefix="1" applyFont="1" applyFill="1" applyBorder="1" applyAlignment="1">
      <alignment horizontal="center" vertical="center"/>
    </xf>
    <xf numFmtId="0" fontId="42" fillId="4" borderId="25" xfId="1" quotePrefix="1" applyFont="1" applyFill="1" applyBorder="1" applyAlignment="1">
      <alignment horizontal="center" vertical="center"/>
    </xf>
    <xf numFmtId="0" fontId="42" fillId="0" borderId="25" xfId="1" quotePrefix="1" applyFont="1" applyBorder="1" applyAlignment="1">
      <alignment horizontal="center" vertical="center"/>
    </xf>
    <xf numFmtId="0" fontId="42" fillId="0" borderId="28" xfId="1" quotePrefix="1" applyFont="1" applyBorder="1" applyAlignment="1">
      <alignment horizontal="center" vertical="center"/>
    </xf>
    <xf numFmtId="0" fontId="43" fillId="0" borderId="16" xfId="1" quotePrefix="1" applyFont="1" applyBorder="1" applyAlignment="1">
      <alignment vertical="center"/>
    </xf>
    <xf numFmtId="0" fontId="43" fillId="0" borderId="28" xfId="1" quotePrefix="1" applyFont="1" applyBorder="1" applyAlignment="1">
      <alignment vertical="center"/>
    </xf>
    <xf numFmtId="0" fontId="44" fillId="0" borderId="16" xfId="1" quotePrefix="1" applyFont="1" applyBorder="1" applyAlignment="1">
      <alignment horizontal="center" vertical="center"/>
    </xf>
    <xf numFmtId="0" fontId="42" fillId="0" borderId="18" xfId="1" quotePrefix="1" applyFont="1" applyBorder="1" applyAlignment="1">
      <alignment horizontal="center" vertical="center"/>
    </xf>
    <xf numFmtId="0" fontId="42" fillId="4" borderId="18" xfId="1" quotePrefix="1" applyFont="1" applyFill="1" applyBorder="1" applyAlignment="1">
      <alignment horizontal="center" vertical="center"/>
    </xf>
    <xf numFmtId="0" fontId="42" fillId="4" borderId="14" xfId="1" quotePrefix="1" applyFont="1" applyFill="1" applyBorder="1" applyAlignment="1">
      <alignment horizontal="center" vertical="center"/>
    </xf>
    <xf numFmtId="0" fontId="42" fillId="4" borderId="26" xfId="1" quotePrefix="1" applyFont="1" applyFill="1" applyBorder="1" applyAlignment="1">
      <alignment horizontal="center" vertical="center"/>
    </xf>
    <xf numFmtId="0" fontId="42" fillId="0" borderId="26" xfId="1" quotePrefix="1" applyFont="1" applyBorder="1" applyAlignment="1">
      <alignment horizontal="center" vertical="center"/>
    </xf>
    <xf numFmtId="0" fontId="42" fillId="0" borderId="29" xfId="1" quotePrefix="1" applyFont="1" applyBorder="1" applyAlignment="1">
      <alignment horizontal="center" vertical="center"/>
    </xf>
    <xf numFmtId="0" fontId="43" fillId="0" borderId="14" xfId="1" quotePrefix="1" applyFont="1" applyBorder="1" applyAlignment="1">
      <alignment horizontal="center" vertical="center"/>
    </xf>
    <xf numFmtId="0" fontId="43" fillId="0" borderId="29" xfId="1" quotePrefix="1" applyFont="1" applyBorder="1" applyAlignment="1">
      <alignment horizontal="center" vertical="center"/>
    </xf>
    <xf numFmtId="0" fontId="45" fillId="0" borderId="14" xfId="1" quotePrefix="1" applyFont="1" applyBorder="1" applyAlignment="1">
      <alignment horizontal="center" vertical="center"/>
    </xf>
    <xf numFmtId="0" fontId="43" fillId="0" borderId="20" xfId="1" quotePrefix="1" applyFont="1" applyBorder="1" applyAlignment="1">
      <alignment vertical="center"/>
    </xf>
    <xf numFmtId="0" fontId="43" fillId="0" borderId="25" xfId="1" quotePrefix="1" applyFont="1" applyBorder="1" applyAlignment="1">
      <alignment vertical="center"/>
    </xf>
    <xf numFmtId="0" fontId="42" fillId="0" borderId="23" xfId="1" quotePrefix="1" applyFont="1" applyBorder="1" applyAlignment="1">
      <alignment horizontal="center" vertical="center"/>
    </xf>
    <xf numFmtId="0" fontId="42" fillId="4" borderId="23" xfId="1" quotePrefix="1" applyFont="1" applyFill="1" applyBorder="1" applyAlignment="1">
      <alignment horizontal="center" vertical="center"/>
    </xf>
    <xf numFmtId="0" fontId="42" fillId="4" borderId="22" xfId="1" quotePrefix="1" applyFont="1" applyFill="1" applyBorder="1" applyAlignment="1">
      <alignment horizontal="center" vertical="center"/>
    </xf>
    <xf numFmtId="0" fontId="42" fillId="4" borderId="27" xfId="1" quotePrefix="1" applyFont="1" applyFill="1" applyBorder="1" applyAlignment="1">
      <alignment horizontal="center" vertical="center"/>
    </xf>
    <xf numFmtId="0" fontId="42" fillId="0" borderId="30" xfId="1" quotePrefix="1" applyFont="1" applyBorder="1" applyAlignment="1">
      <alignment horizontal="center" vertical="center"/>
    </xf>
    <xf numFmtId="0" fontId="43" fillId="0" borderId="23" xfId="1" quotePrefix="1" applyFont="1" applyBorder="1" applyAlignment="1">
      <alignment horizontal="center" vertical="center"/>
    </xf>
    <xf numFmtId="0" fontId="45" fillId="0" borderId="22" xfId="1" quotePrefix="1" applyFont="1" applyBorder="1" applyAlignment="1">
      <alignment horizontal="center" vertical="center"/>
    </xf>
    <xf numFmtId="0" fontId="43" fillId="0" borderId="27" xfId="1" quotePrefix="1" applyFont="1" applyBorder="1" applyAlignment="1">
      <alignment horizontal="center" vertical="center"/>
    </xf>
    <xf numFmtId="0" fontId="43" fillId="0" borderId="30" xfId="1" quotePrefix="1" applyFont="1" applyBorder="1" applyAlignment="1">
      <alignment horizontal="center" vertical="center"/>
    </xf>
    <xf numFmtId="0" fontId="43" fillId="0" borderId="18" xfId="1" quotePrefix="1" applyFont="1" applyBorder="1" applyAlignment="1">
      <alignment horizontal="center" vertical="center"/>
    </xf>
    <xf numFmtId="0" fontId="40" fillId="2" borderId="19" xfId="1" applyFont="1" applyFill="1" applyBorder="1" applyAlignment="1">
      <alignment horizontal="center" vertical="center"/>
    </xf>
    <xf numFmtId="0" fontId="43" fillId="0" borderId="22" xfId="1" quotePrefix="1" applyFont="1" applyBorder="1" applyAlignment="1">
      <alignment horizontal="center" vertical="center"/>
    </xf>
    <xf numFmtId="3" fontId="40" fillId="0" borderId="19" xfId="1" applyNumberFormat="1" applyFont="1" applyBorder="1" applyAlignment="1">
      <alignment horizontal="center" vertical="center"/>
    </xf>
    <xf numFmtId="3" fontId="41" fillId="0" borderId="20" xfId="1" quotePrefix="1" applyNumberFormat="1" applyFont="1" applyBorder="1" applyAlignment="1">
      <alignment horizontal="center" vertical="center"/>
    </xf>
    <xf numFmtId="3" fontId="41" fillId="4" borderId="16" xfId="1" quotePrefix="1" applyNumberFormat="1" applyFont="1" applyFill="1" applyBorder="1" applyAlignment="1">
      <alignment horizontal="center" vertical="center"/>
    </xf>
    <xf numFmtId="3" fontId="41" fillId="0" borderId="16" xfId="1" quotePrefix="1" applyNumberFormat="1" applyFont="1" applyBorder="1" applyAlignment="1">
      <alignment horizontal="center" vertical="center"/>
    </xf>
    <xf numFmtId="0" fontId="42" fillId="0" borderId="14" xfId="1" quotePrefix="1" applyFont="1" applyBorder="1" applyAlignment="1">
      <alignment horizontal="center" vertical="center"/>
    </xf>
    <xf numFmtId="3" fontId="45" fillId="0" borderId="14" xfId="1" quotePrefix="1" applyNumberFormat="1" applyFont="1" applyBorder="1" applyAlignment="1">
      <alignment horizontal="center" vertical="center"/>
    </xf>
    <xf numFmtId="3" fontId="40" fillId="4" borderId="19" xfId="1" applyNumberFormat="1" applyFont="1" applyFill="1" applyBorder="1" applyAlignment="1">
      <alignment horizontal="center" vertical="center"/>
    </xf>
    <xf numFmtId="0" fontId="31" fillId="2" borderId="15" xfId="1" applyFont="1" applyFill="1" applyBorder="1" applyAlignment="1">
      <alignment vertical="center"/>
    </xf>
    <xf numFmtId="3" fontId="25" fillId="0" borderId="1" xfId="1" applyNumberFormat="1" applyFont="1" applyBorder="1" applyAlignment="1">
      <alignment horizontal="center" vertical="center"/>
    </xf>
    <xf numFmtId="3" fontId="25" fillId="0" borderId="3" xfId="1" applyNumberFormat="1" applyFont="1" applyBorder="1" applyAlignment="1">
      <alignment horizontal="center" vertical="center"/>
    </xf>
    <xf numFmtId="3" fontId="25" fillId="0" borderId="2" xfId="1" applyNumberFormat="1" applyFont="1" applyBorder="1" applyAlignment="1">
      <alignment horizontal="center" vertical="center"/>
    </xf>
    <xf numFmtId="0" fontId="26" fillId="2" borderId="1" xfId="1" applyFont="1" applyFill="1" applyBorder="1" applyAlignment="1">
      <alignment horizontal="center" vertical="center"/>
    </xf>
    <xf numFmtId="0" fontId="26" fillId="2" borderId="3" xfId="1" applyFont="1" applyFill="1" applyBorder="1" applyAlignment="1">
      <alignment horizontal="center" vertical="center"/>
    </xf>
    <xf numFmtId="0" fontId="26" fillId="2" borderId="2" xfId="1" applyFont="1" applyFill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4" fillId="0" borderId="2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/>
    </xf>
    <xf numFmtId="0" fontId="36" fillId="0" borderId="2" xfId="1" applyFont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9" xfId="1" applyFont="1" applyBorder="1" applyAlignment="1">
      <alignment horizontal="center" vertical="center"/>
    </xf>
    <xf numFmtId="0" fontId="34" fillId="0" borderId="8" xfId="1" applyFont="1" applyBorder="1" applyAlignment="1">
      <alignment horizontal="center" vertical="center"/>
    </xf>
    <xf numFmtId="0" fontId="36" fillId="0" borderId="7" xfId="1" applyFont="1" applyBorder="1" applyAlignment="1">
      <alignment horizontal="center" vertical="center"/>
    </xf>
    <xf numFmtId="0" fontId="36" fillId="0" borderId="10" xfId="1" applyFont="1" applyBorder="1" applyAlignment="1">
      <alignment horizontal="center" vertical="center"/>
    </xf>
    <xf numFmtId="0" fontId="36" fillId="0" borderId="4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 wrapText="1"/>
    </xf>
    <xf numFmtId="0" fontId="28" fillId="0" borderId="3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0" fontId="29" fillId="0" borderId="2" xfId="1" applyFont="1" applyBorder="1" applyAlignment="1">
      <alignment horizontal="center" vertical="center"/>
    </xf>
    <xf numFmtId="0" fontId="29" fillId="0" borderId="7" xfId="1" applyFont="1" applyBorder="1" applyAlignment="1">
      <alignment horizontal="center" vertical="center"/>
    </xf>
    <xf numFmtId="0" fontId="29" fillId="0" borderId="10" xfId="1" applyFont="1" applyBorder="1" applyAlignment="1">
      <alignment horizontal="center" vertical="center"/>
    </xf>
    <xf numFmtId="0" fontId="29" fillId="0" borderId="4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4" fillId="0" borderId="7" xfId="1" applyFont="1" applyBorder="1" applyAlignment="1">
      <alignment horizontal="center" vertical="center" wrapText="1"/>
    </xf>
    <xf numFmtId="0" fontId="24" fillId="0" borderId="10" xfId="1" applyFont="1" applyBorder="1" applyAlignment="1">
      <alignment horizontal="center" vertical="center" wrapText="1"/>
    </xf>
    <xf numFmtId="3" fontId="34" fillId="0" borderId="6" xfId="1" applyNumberFormat="1" applyFont="1" applyBorder="1" applyAlignment="1">
      <alignment horizontal="center" vertical="center"/>
    </xf>
    <xf numFmtId="3" fontId="34" fillId="0" borderId="9" xfId="1" applyNumberFormat="1" applyFont="1" applyBorder="1" applyAlignment="1">
      <alignment horizontal="center" vertical="center"/>
    </xf>
    <xf numFmtId="3" fontId="34" fillId="0" borderId="8" xfId="1" applyNumberFormat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2" borderId="7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19" fillId="2" borderId="4" xfId="1" applyFont="1" applyFill="1" applyBorder="1" applyAlignment="1">
      <alignment horizontal="center" vertical="center"/>
    </xf>
    <xf numFmtId="0" fontId="19" fillId="2" borderId="5" xfId="1" applyFont="1" applyFill="1" applyBorder="1" applyAlignment="1">
      <alignment horizontal="center" vertical="center"/>
    </xf>
    <xf numFmtId="0" fontId="19" fillId="2" borderId="8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6" fillId="4" borderId="12" xfId="1" applyFont="1" applyFill="1" applyBorder="1" applyAlignment="1">
      <alignment horizontal="center" vertical="center"/>
    </xf>
    <xf numFmtId="0" fontId="16" fillId="4" borderId="13" xfId="1" applyFont="1" applyFill="1" applyBorder="1" applyAlignment="1">
      <alignment horizontal="center" vertical="center"/>
    </xf>
    <xf numFmtId="0" fontId="16" fillId="4" borderId="31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39" fillId="2" borderId="1" xfId="1" applyFont="1" applyFill="1" applyBorder="1" applyAlignment="1">
      <alignment horizontal="center" vertical="center" wrapText="1"/>
    </xf>
    <xf numFmtId="0" fontId="39" fillId="2" borderId="3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 wrapText="1"/>
    </xf>
    <xf numFmtId="3" fontId="30" fillId="3" borderId="1" xfId="1" applyNumberFormat="1" applyFont="1" applyFill="1" applyBorder="1" applyAlignment="1">
      <alignment horizontal="center" vertical="center" wrapText="1"/>
    </xf>
    <xf numFmtId="3" fontId="30" fillId="3" borderId="3" xfId="1" applyNumberFormat="1" applyFont="1" applyFill="1" applyBorder="1" applyAlignment="1">
      <alignment horizontal="center" vertical="center" wrapText="1"/>
    </xf>
    <xf numFmtId="3" fontId="30" fillId="3" borderId="2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6467E46B-D096-43AA-8F83-1A48B7A689FE}"/>
    <cellStyle name="Normal 4 2" xfId="2" xr:uid="{00000000-0005-0000-0000-000002000000}"/>
  </cellStyles>
  <dxfs count="0"/>
  <tableStyles count="0" defaultTableStyle="TableStyleMedium2" defaultPivotStyle="PivotStyleLight16"/>
  <colors>
    <mruColors>
      <color rgb="FF0000FF"/>
      <color rgb="FF000000"/>
      <color rgb="FFFEF7F4"/>
      <color rgb="FF003300"/>
      <color rgb="FFFF9933"/>
      <color rgb="FFCCCCFF"/>
      <color rgb="FFFFCCCC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X108"/>
  <sheetViews>
    <sheetView tabSelected="1" topLeftCell="A67" zoomScale="30" zoomScaleNormal="30" zoomScaleSheetLayoutView="70" workbookViewId="0">
      <selection activeCell="C87" sqref="C87"/>
    </sheetView>
  </sheetViews>
  <sheetFormatPr defaultColWidth="5.6640625" defaultRowHeight="15" customHeight="1"/>
  <cols>
    <col min="1" max="1" width="2.44140625" style="1" customWidth="1"/>
    <col min="2" max="2" width="4.44140625" style="1" customWidth="1"/>
    <col min="3" max="3" width="14.5546875" style="19" customWidth="1"/>
    <col min="4" max="4" width="144.77734375" style="1" customWidth="1"/>
    <col min="5" max="5" width="27.21875" style="17" customWidth="1"/>
    <col min="6" max="6" width="21.21875" style="18" customWidth="1"/>
    <col min="7" max="7" width="33.88671875" style="2" customWidth="1"/>
    <col min="8" max="9" width="37.21875" style="2" customWidth="1"/>
    <col min="10" max="10" width="40.77734375" style="2" customWidth="1"/>
    <col min="11" max="12" width="33.88671875" style="2" customWidth="1"/>
    <col min="13" max="14" width="30.33203125" style="1" customWidth="1"/>
    <col min="15" max="15" width="33.88671875" style="1" customWidth="1"/>
    <col min="16" max="17" width="30.33203125" style="1" customWidth="1"/>
    <col min="18" max="18" width="45.33203125" style="4" customWidth="1"/>
    <col min="19" max="19" width="30.33203125" style="34" customWidth="1"/>
    <col min="20" max="20" width="29.6640625" style="1" customWidth="1"/>
    <col min="21" max="22" width="15.5546875" style="1" customWidth="1"/>
    <col min="23" max="23" width="18" style="1" customWidth="1"/>
    <col min="24" max="24" width="14.109375" style="3" customWidth="1"/>
    <col min="25" max="25" width="11.109375" style="1" customWidth="1"/>
    <col min="26" max="29" width="5.6640625" style="1"/>
    <col min="30" max="30" width="5.6640625" style="1" customWidth="1"/>
    <col min="31" max="16384" width="5.6640625" style="1"/>
  </cols>
  <sheetData>
    <row r="4" spans="3:24" ht="15" customHeight="1" thickBot="1"/>
    <row r="5" spans="3:24" ht="15" customHeight="1">
      <c r="C5" s="124"/>
      <c r="D5" s="127" t="s">
        <v>20</v>
      </c>
      <c r="E5" s="136" t="s">
        <v>21</v>
      </c>
      <c r="F5" s="139" t="s">
        <v>1</v>
      </c>
      <c r="G5" s="148" t="s">
        <v>83</v>
      </c>
      <c r="H5" s="149"/>
      <c r="I5" s="149"/>
      <c r="J5" s="149"/>
      <c r="K5" s="149"/>
      <c r="L5" s="150"/>
      <c r="M5" s="144" t="s">
        <v>84</v>
      </c>
      <c r="N5" s="145"/>
      <c r="O5" s="145"/>
      <c r="P5" s="145"/>
      <c r="Q5" s="145"/>
      <c r="R5" s="183" t="s">
        <v>3</v>
      </c>
      <c r="S5" s="180" t="s">
        <v>8</v>
      </c>
      <c r="X5" s="1"/>
    </row>
    <row r="6" spans="3:24" ht="73.2" customHeight="1" thickBot="1">
      <c r="C6" s="125"/>
      <c r="D6" s="128"/>
      <c r="E6" s="137"/>
      <c r="F6" s="140"/>
      <c r="G6" s="151"/>
      <c r="H6" s="152"/>
      <c r="I6" s="152"/>
      <c r="J6" s="152"/>
      <c r="K6" s="152"/>
      <c r="L6" s="153"/>
      <c r="M6" s="146"/>
      <c r="N6" s="147"/>
      <c r="O6" s="147"/>
      <c r="P6" s="147"/>
      <c r="Q6" s="147"/>
      <c r="R6" s="184"/>
      <c r="S6" s="181"/>
      <c r="X6" s="1"/>
    </row>
    <row r="7" spans="3:24" ht="55.2" customHeight="1" thickBot="1">
      <c r="C7" s="125"/>
      <c r="D7" s="128"/>
      <c r="E7" s="137"/>
      <c r="F7" s="140"/>
      <c r="G7" s="154" t="s">
        <v>9</v>
      </c>
      <c r="H7" s="157" t="s">
        <v>18</v>
      </c>
      <c r="I7" s="158"/>
      <c r="J7" s="159"/>
      <c r="K7" s="164" t="s">
        <v>12</v>
      </c>
      <c r="L7" s="167" t="s">
        <v>0</v>
      </c>
      <c r="M7" s="176" t="s">
        <v>23</v>
      </c>
      <c r="N7" s="177"/>
      <c r="O7" s="177"/>
      <c r="P7" s="177"/>
      <c r="Q7" s="177"/>
      <c r="R7" s="184"/>
      <c r="S7" s="181"/>
      <c r="X7" s="1"/>
    </row>
    <row r="8" spans="3:24" ht="68.400000000000006" customHeight="1">
      <c r="C8" s="125"/>
      <c r="D8" s="128"/>
      <c r="E8" s="137"/>
      <c r="F8" s="140"/>
      <c r="G8" s="155"/>
      <c r="H8" s="162" t="s">
        <v>10</v>
      </c>
      <c r="I8" s="160" t="s">
        <v>11</v>
      </c>
      <c r="J8" s="160" t="s">
        <v>24</v>
      </c>
      <c r="K8" s="165"/>
      <c r="L8" s="168"/>
      <c r="M8" s="178" t="s">
        <v>4</v>
      </c>
      <c r="N8" s="178" t="s">
        <v>49</v>
      </c>
      <c r="O8" s="170" t="s">
        <v>5</v>
      </c>
      <c r="P8" s="172" t="s">
        <v>6</v>
      </c>
      <c r="Q8" s="174" t="s">
        <v>7</v>
      </c>
      <c r="R8" s="184"/>
      <c r="S8" s="181"/>
      <c r="X8" s="1"/>
    </row>
    <row r="9" spans="3:24" ht="18" customHeight="1" thickBot="1">
      <c r="C9" s="125"/>
      <c r="D9" s="128"/>
      <c r="E9" s="137"/>
      <c r="F9" s="140"/>
      <c r="G9" s="156"/>
      <c r="H9" s="163"/>
      <c r="I9" s="161"/>
      <c r="J9" s="161"/>
      <c r="K9" s="166"/>
      <c r="L9" s="169"/>
      <c r="M9" s="179"/>
      <c r="N9" s="179"/>
      <c r="O9" s="171"/>
      <c r="P9" s="173"/>
      <c r="Q9" s="175"/>
      <c r="R9" s="185"/>
      <c r="S9" s="181"/>
      <c r="X9" s="1"/>
    </row>
    <row r="10" spans="3:24" ht="67.95" customHeight="1" thickBot="1">
      <c r="C10" s="126"/>
      <c r="D10" s="129"/>
      <c r="E10" s="138"/>
      <c r="F10" s="140"/>
      <c r="G10" s="45" t="s">
        <v>16</v>
      </c>
      <c r="H10" s="46" t="s">
        <v>13</v>
      </c>
      <c r="I10" s="47" t="s">
        <v>14</v>
      </c>
      <c r="J10" s="48" t="s">
        <v>15</v>
      </c>
      <c r="K10" s="49" t="s">
        <v>16</v>
      </c>
      <c r="L10" s="45" t="s">
        <v>16</v>
      </c>
      <c r="M10" s="50" t="s">
        <v>43</v>
      </c>
      <c r="N10" s="50" t="s">
        <v>42</v>
      </c>
      <c r="O10" s="51" t="s">
        <v>41</v>
      </c>
      <c r="P10" s="52" t="s">
        <v>44</v>
      </c>
      <c r="Q10" s="53" t="s">
        <v>48</v>
      </c>
      <c r="R10" s="20" t="s">
        <v>17</v>
      </c>
      <c r="S10" s="182"/>
      <c r="X10" s="1"/>
    </row>
    <row r="11" spans="3:24" ht="67.5" customHeight="1" thickBot="1">
      <c r="C11" s="130">
        <v>1</v>
      </c>
      <c r="D11" s="21" t="s">
        <v>45</v>
      </c>
      <c r="E11" s="112">
        <v>21.5</v>
      </c>
      <c r="F11" s="121">
        <v>36</v>
      </c>
      <c r="G11" s="58"/>
      <c r="H11" s="59"/>
      <c r="I11" s="59"/>
      <c r="J11" s="59"/>
      <c r="K11" s="58"/>
      <c r="L11" s="58"/>
      <c r="M11" s="60"/>
      <c r="N11" s="61"/>
      <c r="O11" s="60"/>
      <c r="P11" s="61"/>
      <c r="Q11" s="60"/>
      <c r="R11" s="54">
        <f>SUM(G11:Q11)</f>
        <v>0</v>
      </c>
      <c r="S11" s="35" t="s">
        <v>19</v>
      </c>
      <c r="X11" s="1"/>
    </row>
    <row r="12" spans="3:24" ht="67.5" customHeight="1">
      <c r="C12" s="131"/>
      <c r="D12" s="10" t="s">
        <v>46</v>
      </c>
      <c r="E12" s="113"/>
      <c r="F12" s="122"/>
      <c r="G12" s="62" t="str">
        <f>IF(G11=0, "", IF(MOD(G11, $F$11) = 0, G11 / $F$11, IF(INT(G11 / $F$11) = 0, MOD(G11, $F$11) &amp; " P", INT(G11 / $F$11) &amp; " + " &amp; MOD(G11, $F$11) &amp; " P")))</f>
        <v/>
      </c>
      <c r="H12" s="63" t="str">
        <f t="shared" ref="H12:Q12" si="0">IF(H11=0, "", IF(MOD(H11, $F$11) = 0, H11 / $F$11, IF(INT(H11 / $F$11) = 0, MOD(H11, $F$11) &amp; " P", INT(H11 / $F$11) &amp; " + " &amp; MOD(H11, $F$11) &amp; " P")))</f>
        <v/>
      </c>
      <c r="I12" s="63" t="str">
        <f t="shared" si="0"/>
        <v/>
      </c>
      <c r="J12" s="63" t="str">
        <f t="shared" si="0"/>
        <v/>
      </c>
      <c r="K12" s="62" t="str">
        <f t="shared" si="0"/>
        <v/>
      </c>
      <c r="L12" s="62" t="str">
        <f t="shared" si="0"/>
        <v/>
      </c>
      <c r="M12" s="64" t="str">
        <f t="shared" si="0"/>
        <v/>
      </c>
      <c r="N12" s="65" t="str">
        <f t="shared" si="0"/>
        <v/>
      </c>
      <c r="O12" s="64" t="str">
        <f t="shared" si="0"/>
        <v/>
      </c>
      <c r="P12" s="65" t="str">
        <f t="shared" si="0"/>
        <v/>
      </c>
      <c r="Q12" s="64" t="str">
        <f t="shared" si="0"/>
        <v/>
      </c>
      <c r="R12" s="106">
        <f>G11+H11+I11+J11+K11+L11+O13</f>
        <v>300</v>
      </c>
      <c r="S12" s="109">
        <f>SUM(O14)</f>
        <v>300</v>
      </c>
      <c r="T12" s="5"/>
      <c r="X12" s="1"/>
    </row>
    <row r="13" spans="3:24" ht="67.5" customHeight="1">
      <c r="C13" s="131"/>
      <c r="D13" s="11" t="s">
        <v>47</v>
      </c>
      <c r="E13" s="113"/>
      <c r="F13" s="122"/>
      <c r="G13" s="66"/>
      <c r="H13" s="67"/>
      <c r="I13" s="68"/>
      <c r="J13" s="69"/>
      <c r="K13" s="70"/>
      <c r="L13" s="71"/>
      <c r="M13" s="72"/>
      <c r="N13" s="73"/>
      <c r="O13" s="74">
        <v>300</v>
      </c>
      <c r="P13" s="73"/>
      <c r="Q13" s="72"/>
      <c r="R13" s="107"/>
      <c r="S13" s="110"/>
      <c r="T13" s="5"/>
      <c r="X13" s="1"/>
    </row>
    <row r="14" spans="3:24" ht="67.5" customHeight="1" thickBot="1">
      <c r="C14" s="132"/>
      <c r="D14" s="9" t="s">
        <v>8</v>
      </c>
      <c r="E14" s="114"/>
      <c r="F14" s="123"/>
      <c r="G14" s="75"/>
      <c r="H14" s="76"/>
      <c r="I14" s="77"/>
      <c r="J14" s="78"/>
      <c r="K14" s="79"/>
      <c r="L14" s="80"/>
      <c r="M14" s="81"/>
      <c r="N14" s="82"/>
      <c r="O14" s="83">
        <f>SUM(O13-M11-N11-O11-P11-Q11)</f>
        <v>300</v>
      </c>
      <c r="P14" s="82"/>
      <c r="Q14" s="81"/>
      <c r="R14" s="108"/>
      <c r="S14" s="111"/>
      <c r="T14" s="5"/>
      <c r="X14" s="1"/>
    </row>
    <row r="15" spans="3:24" ht="67.5" customHeight="1" thickBot="1">
      <c r="C15" s="130">
        <v>2</v>
      </c>
      <c r="D15" s="21" t="s">
        <v>2</v>
      </c>
      <c r="E15" s="112">
        <v>24</v>
      </c>
      <c r="F15" s="121">
        <v>32</v>
      </c>
      <c r="G15" s="58"/>
      <c r="H15" s="59"/>
      <c r="I15" s="59"/>
      <c r="J15" s="59"/>
      <c r="K15" s="58"/>
      <c r="L15" s="58"/>
      <c r="M15" s="58"/>
      <c r="N15" s="58"/>
      <c r="O15" s="58"/>
      <c r="P15" s="58"/>
      <c r="Q15" s="58"/>
      <c r="R15" s="12">
        <f>SUM(G15:Q15)</f>
        <v>0</v>
      </c>
      <c r="S15" s="35" t="s">
        <v>19</v>
      </c>
      <c r="X15" s="1"/>
    </row>
    <row r="16" spans="3:24" ht="67.5" customHeight="1">
      <c r="C16" s="131"/>
      <c r="D16" s="6" t="s">
        <v>25</v>
      </c>
      <c r="E16" s="113"/>
      <c r="F16" s="122"/>
      <c r="G16" s="62" t="str">
        <f>IF(G15=0, "", IF(MOD(G15, $F$15) = 0, G15 / $F$15, IF(INT(G15 / $F$15) = 0, MOD(G15, $F$15) &amp; " P", INT(G15 / $F$15) &amp; " + " &amp; MOD(G15, $F$15) &amp; " P")))</f>
        <v/>
      </c>
      <c r="H16" s="63" t="str">
        <f t="shared" ref="H16:Q16" si="1">IF(H15=0, "", IF(MOD(H15, $F$15) = 0, H15 / $F$15, IF(INT(H15 / $F$15) = 0, MOD(H15, $F$15) &amp; " P", INT(H15 / $F$15) &amp; " + " &amp; MOD(H15, $F$15) &amp; " P")))</f>
        <v/>
      </c>
      <c r="I16" s="63" t="str">
        <f t="shared" si="1"/>
        <v/>
      </c>
      <c r="J16" s="63" t="str">
        <f t="shared" si="1"/>
        <v/>
      </c>
      <c r="K16" s="62" t="str">
        <f t="shared" si="1"/>
        <v/>
      </c>
      <c r="L16" s="62" t="str">
        <f t="shared" si="1"/>
        <v/>
      </c>
      <c r="M16" s="62" t="str">
        <f t="shared" si="1"/>
        <v/>
      </c>
      <c r="N16" s="62" t="str">
        <f t="shared" si="1"/>
        <v/>
      </c>
      <c r="O16" s="62" t="str">
        <f t="shared" si="1"/>
        <v/>
      </c>
      <c r="P16" s="62" t="str">
        <f t="shared" si="1"/>
        <v/>
      </c>
      <c r="Q16" s="62" t="str">
        <f t="shared" si="1"/>
        <v/>
      </c>
      <c r="R16" s="106">
        <f>G15+H15+I15+J15+K15+L15+O17</f>
        <v>790</v>
      </c>
      <c r="S16" s="109">
        <f>SUM(O18)</f>
        <v>790</v>
      </c>
      <c r="T16" s="5"/>
      <c r="X16" s="1"/>
    </row>
    <row r="17" spans="3:24" ht="67.5" customHeight="1">
      <c r="C17" s="131"/>
      <c r="D17" s="7" t="s">
        <v>38</v>
      </c>
      <c r="E17" s="113"/>
      <c r="F17" s="122"/>
      <c r="G17" s="66"/>
      <c r="H17" s="67"/>
      <c r="I17" s="68"/>
      <c r="J17" s="69"/>
      <c r="K17" s="71"/>
      <c r="L17" s="66"/>
      <c r="M17" s="84"/>
      <c r="N17" s="84"/>
      <c r="O17" s="74">
        <v>790</v>
      </c>
      <c r="P17" s="85"/>
      <c r="Q17" s="73"/>
      <c r="R17" s="107"/>
      <c r="S17" s="110"/>
      <c r="T17" s="5"/>
      <c r="X17" s="1"/>
    </row>
    <row r="18" spans="3:24" ht="67.5" customHeight="1" thickBot="1">
      <c r="C18" s="132"/>
      <c r="D18" s="8" t="s">
        <v>8</v>
      </c>
      <c r="E18" s="113"/>
      <c r="F18" s="122"/>
      <c r="G18" s="86"/>
      <c r="H18" s="87"/>
      <c r="I18" s="88"/>
      <c r="J18" s="89"/>
      <c r="K18" s="90"/>
      <c r="L18" s="86"/>
      <c r="M18" s="91"/>
      <c r="N18" s="91"/>
      <c r="O18" s="92">
        <f>SUM(O17-M15-N15-O15-P15-Q15)</f>
        <v>790</v>
      </c>
      <c r="P18" s="93"/>
      <c r="Q18" s="94"/>
      <c r="R18" s="107"/>
      <c r="S18" s="110"/>
      <c r="T18" s="5"/>
      <c r="X18" s="1"/>
    </row>
    <row r="19" spans="3:24" ht="67.5" hidden="1" customHeight="1" thickBot="1">
      <c r="C19" s="133">
        <v>3</v>
      </c>
      <c r="D19" s="21" t="s">
        <v>59</v>
      </c>
      <c r="E19" s="141">
        <v>64</v>
      </c>
      <c r="F19" s="121">
        <v>36</v>
      </c>
      <c r="G19" s="58"/>
      <c r="H19" s="59"/>
      <c r="I19" s="59"/>
      <c r="J19" s="59"/>
      <c r="K19" s="58"/>
      <c r="L19" s="58"/>
      <c r="M19" s="58"/>
      <c r="N19" s="58"/>
      <c r="O19" s="58"/>
      <c r="P19" s="58"/>
      <c r="Q19" s="58"/>
      <c r="R19" s="13">
        <f>SUM(G19:Q19)</f>
        <v>0</v>
      </c>
      <c r="S19" s="35" t="s">
        <v>19</v>
      </c>
      <c r="X19" s="1"/>
    </row>
    <row r="20" spans="3:24" ht="67.5" hidden="1" customHeight="1">
      <c r="C20" s="134"/>
      <c r="D20" s="16" t="s">
        <v>60</v>
      </c>
      <c r="E20" s="142"/>
      <c r="F20" s="122"/>
      <c r="G20" s="62" t="str">
        <f t="shared" ref="G20:Q20" si="2">IF(G19=0, "", IF(MOD(G19, $F$19) = 0, G19/ $F$19, IF(INT(G19 / $F$19) = 0, MOD(G19, $F$19) &amp; " P", INT(G19 / $F$19) &amp; " + " &amp; MOD(G19, $F$19) &amp; " P")))</f>
        <v/>
      </c>
      <c r="H20" s="63" t="str">
        <f t="shared" si="2"/>
        <v/>
      </c>
      <c r="I20" s="63" t="str">
        <f t="shared" si="2"/>
        <v/>
      </c>
      <c r="J20" s="63" t="str">
        <f t="shared" si="2"/>
        <v/>
      </c>
      <c r="K20" s="62" t="str">
        <f t="shared" si="2"/>
        <v/>
      </c>
      <c r="L20" s="62" t="str">
        <f t="shared" si="2"/>
        <v/>
      </c>
      <c r="M20" s="62" t="str">
        <f t="shared" si="2"/>
        <v/>
      </c>
      <c r="N20" s="62" t="str">
        <f t="shared" si="2"/>
        <v/>
      </c>
      <c r="O20" s="62" t="str">
        <f t="shared" si="2"/>
        <v/>
      </c>
      <c r="P20" s="62" t="str">
        <f t="shared" si="2"/>
        <v/>
      </c>
      <c r="Q20" s="62" t="str">
        <f t="shared" si="2"/>
        <v/>
      </c>
      <c r="R20" s="106">
        <f>G19+H19+I19+J19+K19+L19+O21</f>
        <v>280</v>
      </c>
      <c r="S20" s="109">
        <f>SUM(O22)</f>
        <v>280</v>
      </c>
      <c r="X20" s="1"/>
    </row>
    <row r="21" spans="3:24" ht="67.5" hidden="1" customHeight="1">
      <c r="C21" s="134"/>
      <c r="D21" s="11" t="s">
        <v>55</v>
      </c>
      <c r="E21" s="142"/>
      <c r="F21" s="122"/>
      <c r="G21" s="66"/>
      <c r="H21" s="67"/>
      <c r="I21" s="68"/>
      <c r="J21" s="69"/>
      <c r="K21" s="71"/>
      <c r="L21" s="66"/>
      <c r="M21" s="72"/>
      <c r="N21" s="72"/>
      <c r="O21" s="74">
        <v>280</v>
      </c>
      <c r="P21" s="72"/>
      <c r="Q21" s="84"/>
      <c r="R21" s="107"/>
      <c r="S21" s="110"/>
      <c r="X21" s="1"/>
    </row>
    <row r="22" spans="3:24" ht="67.5" hidden="1" customHeight="1" thickBot="1">
      <c r="C22" s="135"/>
      <c r="D22" s="14" t="s">
        <v>8</v>
      </c>
      <c r="E22" s="143"/>
      <c r="F22" s="123"/>
      <c r="G22" s="75"/>
      <c r="H22" s="76"/>
      <c r="I22" s="77"/>
      <c r="J22" s="78"/>
      <c r="K22" s="80"/>
      <c r="L22" s="75"/>
      <c r="M22" s="81"/>
      <c r="N22" s="81"/>
      <c r="O22" s="83">
        <f>SUM(O21-M19-N19-O19-P19-Q19)</f>
        <v>280</v>
      </c>
      <c r="P22" s="81"/>
      <c r="Q22" s="95"/>
      <c r="R22" s="108"/>
      <c r="S22" s="111"/>
      <c r="X22" s="1"/>
    </row>
    <row r="23" spans="3:24" ht="67.5" customHeight="1" thickBot="1">
      <c r="C23" s="37">
        <v>3</v>
      </c>
      <c r="D23" s="21" t="s">
        <v>76</v>
      </c>
      <c r="E23" s="112">
        <v>43</v>
      </c>
      <c r="F23" s="115">
        <v>14</v>
      </c>
      <c r="G23" s="58"/>
      <c r="H23" s="59"/>
      <c r="I23" s="59"/>
      <c r="J23" s="59"/>
      <c r="K23" s="58"/>
      <c r="L23" s="58"/>
      <c r="M23" s="58"/>
      <c r="N23" s="58"/>
      <c r="O23" s="58"/>
      <c r="P23" s="58"/>
      <c r="Q23" s="58"/>
      <c r="R23" s="13">
        <f>SUM(G23:Q23)</f>
        <v>0</v>
      </c>
      <c r="S23" s="36" t="s">
        <v>19</v>
      </c>
      <c r="X23" s="1"/>
    </row>
    <row r="24" spans="3:24" ht="67.5" customHeight="1">
      <c r="C24" s="56"/>
      <c r="D24" s="10"/>
      <c r="E24" s="113"/>
      <c r="F24" s="116"/>
      <c r="G24" s="62" t="str">
        <f>IF(G23=0, "", IF(MOD(G23, $F$23) = 0, G23/ $F$23, IF(INT(G23 / $F$23) = 0, MOD(G23, $F$23) &amp; " P", INT(G23 / $F$23) &amp; " + " &amp; MOD(G23, $F$23) &amp; " P")))</f>
        <v/>
      </c>
      <c r="H24" s="63" t="str">
        <f t="shared" ref="H24:Q24" si="3">IF(H23=0, "", IF(MOD(H23, $F$23) = 0, H23/ $F$23, IF(INT(H23 / $F$23) = 0, MOD(H23, $F$23) &amp; " P", INT(H23 / $F$23) &amp; " + " &amp; MOD(H23, $F$23) &amp; " P")))</f>
        <v/>
      </c>
      <c r="I24" s="63" t="str">
        <f t="shared" si="3"/>
        <v/>
      </c>
      <c r="J24" s="63" t="str">
        <f t="shared" si="3"/>
        <v/>
      </c>
      <c r="K24" s="62" t="str">
        <f t="shared" si="3"/>
        <v/>
      </c>
      <c r="L24" s="62" t="str">
        <f t="shared" si="3"/>
        <v/>
      </c>
      <c r="M24" s="62" t="str">
        <f t="shared" si="3"/>
        <v/>
      </c>
      <c r="N24" s="62" t="str">
        <f t="shared" si="3"/>
        <v/>
      </c>
      <c r="O24" s="62" t="str">
        <f t="shared" si="3"/>
        <v/>
      </c>
      <c r="P24" s="62" t="str">
        <f t="shared" si="3"/>
        <v/>
      </c>
      <c r="Q24" s="62" t="str">
        <f t="shared" si="3"/>
        <v/>
      </c>
      <c r="R24" s="106">
        <f>G23+H23+I23+J23+K23+L23+O25</f>
        <v>200</v>
      </c>
      <c r="S24" s="109">
        <f>O26</f>
        <v>200</v>
      </c>
      <c r="X24" s="1"/>
    </row>
    <row r="25" spans="3:24" ht="67.5" customHeight="1">
      <c r="C25" s="56"/>
      <c r="D25" s="15" t="s">
        <v>77</v>
      </c>
      <c r="E25" s="113"/>
      <c r="F25" s="116"/>
      <c r="G25" s="66"/>
      <c r="H25" s="67"/>
      <c r="I25" s="68"/>
      <c r="J25" s="69"/>
      <c r="K25" s="71"/>
      <c r="L25" s="66"/>
      <c r="M25" s="72"/>
      <c r="N25" s="72"/>
      <c r="O25" s="74">
        <v>200</v>
      </c>
      <c r="P25" s="72"/>
      <c r="Q25" s="84"/>
      <c r="R25" s="107"/>
      <c r="S25" s="110"/>
      <c r="X25" s="1"/>
    </row>
    <row r="26" spans="3:24" ht="67.5" customHeight="1" thickBot="1">
      <c r="C26" s="57"/>
      <c r="D26" s="14" t="s">
        <v>8</v>
      </c>
      <c r="E26" s="114"/>
      <c r="F26" s="117"/>
      <c r="G26" s="75"/>
      <c r="H26" s="87"/>
      <c r="I26" s="88"/>
      <c r="J26" s="89"/>
      <c r="K26" s="80"/>
      <c r="L26" s="86"/>
      <c r="M26" s="81"/>
      <c r="N26" s="81"/>
      <c r="O26" s="83">
        <f>SUM(O25-M23-N23-O23-P23-Q23)</f>
        <v>200</v>
      </c>
      <c r="P26" s="81"/>
      <c r="Q26" s="95"/>
      <c r="R26" s="108"/>
      <c r="S26" s="110"/>
      <c r="X26" s="1"/>
    </row>
    <row r="27" spans="3:24" ht="67.5" customHeight="1" thickBot="1">
      <c r="C27" s="55">
        <v>4</v>
      </c>
      <c r="D27" s="21" t="s">
        <v>78</v>
      </c>
      <c r="E27" s="118">
        <v>38</v>
      </c>
      <c r="F27" s="121">
        <v>14</v>
      </c>
      <c r="G27" s="58"/>
      <c r="H27" s="59"/>
      <c r="I27" s="59"/>
      <c r="J27" s="59"/>
      <c r="K27" s="58"/>
      <c r="L27" s="58"/>
      <c r="M27" s="58"/>
      <c r="N27" s="58"/>
      <c r="O27" s="58"/>
      <c r="P27" s="58"/>
      <c r="Q27" s="58"/>
      <c r="R27" s="13">
        <f>SUM(G27:Q27)</f>
        <v>0</v>
      </c>
      <c r="S27" s="36" t="s">
        <v>19</v>
      </c>
      <c r="X27" s="1"/>
    </row>
    <row r="28" spans="3:24" ht="67.5" customHeight="1">
      <c r="C28" s="56"/>
      <c r="D28" s="16"/>
      <c r="E28" s="119"/>
      <c r="F28" s="122"/>
      <c r="G28" s="62" t="str">
        <f>IF(G27=0, "", IF(MOD(G27, $F$27) = 0, G27/ $F$27, IF(INT(G27 / $F$27) = 0, MOD(G27, $F$27) &amp; " P", INT(G27 / $F$27) &amp; " + " &amp; MOD(G27, $F$27) &amp; " P")))</f>
        <v/>
      </c>
      <c r="H28" s="63" t="str">
        <f t="shared" ref="H28:Q28" si="4">IF(H27=0, "", IF(MOD(H27, $F$27) = 0, H27/ $F$27, IF(INT(H27 / $F$27) = 0, MOD(H27, $F$27) &amp; " P", INT(H27 / $F$27) &amp; " + " &amp; MOD(H27, $F$27) &amp; " P")))</f>
        <v/>
      </c>
      <c r="I28" s="63" t="str">
        <f t="shared" si="4"/>
        <v/>
      </c>
      <c r="J28" s="63" t="str">
        <f t="shared" si="4"/>
        <v/>
      </c>
      <c r="K28" s="62" t="str">
        <f t="shared" si="4"/>
        <v/>
      </c>
      <c r="L28" s="62" t="str">
        <f t="shared" si="4"/>
        <v/>
      </c>
      <c r="M28" s="62" t="str">
        <f t="shared" si="4"/>
        <v/>
      </c>
      <c r="N28" s="62" t="str">
        <f t="shared" si="4"/>
        <v/>
      </c>
      <c r="O28" s="62" t="str">
        <f t="shared" si="4"/>
        <v/>
      </c>
      <c r="P28" s="62" t="str">
        <f t="shared" si="4"/>
        <v/>
      </c>
      <c r="Q28" s="62" t="str">
        <f t="shared" si="4"/>
        <v/>
      </c>
      <c r="R28" s="106">
        <f>G27+H27+I27+J27+K27+L27+O29</f>
        <v>200</v>
      </c>
      <c r="S28" s="109">
        <f>O30</f>
        <v>200</v>
      </c>
      <c r="X28" s="1"/>
    </row>
    <row r="29" spans="3:24" ht="67.5" customHeight="1">
      <c r="C29" s="56"/>
      <c r="D29" s="11" t="s">
        <v>79</v>
      </c>
      <c r="E29" s="119"/>
      <c r="F29" s="122"/>
      <c r="G29" s="66"/>
      <c r="H29" s="67"/>
      <c r="I29" s="68"/>
      <c r="J29" s="69"/>
      <c r="K29" s="71"/>
      <c r="L29" s="66"/>
      <c r="M29" s="72"/>
      <c r="N29" s="72"/>
      <c r="O29" s="74">
        <v>200</v>
      </c>
      <c r="P29" s="72"/>
      <c r="Q29" s="84"/>
      <c r="R29" s="107"/>
      <c r="S29" s="110"/>
      <c r="X29" s="1"/>
    </row>
    <row r="30" spans="3:24" ht="67.5" customHeight="1" thickBot="1">
      <c r="C30" s="57"/>
      <c r="D30" s="14" t="s">
        <v>8</v>
      </c>
      <c r="E30" s="120"/>
      <c r="F30" s="123"/>
      <c r="G30" s="75"/>
      <c r="H30" s="87"/>
      <c r="I30" s="88"/>
      <c r="J30" s="89"/>
      <c r="K30" s="80"/>
      <c r="L30" s="86"/>
      <c r="M30" s="81"/>
      <c r="N30" s="81"/>
      <c r="O30" s="83">
        <f>SUM(O29-M27-N27-O27-P27-Q27)</f>
        <v>200</v>
      </c>
      <c r="P30" s="81"/>
      <c r="Q30" s="95"/>
      <c r="R30" s="108"/>
      <c r="S30" s="110"/>
      <c r="X30" s="1"/>
    </row>
    <row r="31" spans="3:24" ht="67.5" customHeight="1" thickBot="1">
      <c r="C31" s="130">
        <v>5</v>
      </c>
      <c r="D31" s="21" t="s">
        <v>62</v>
      </c>
      <c r="E31" s="118">
        <v>21.5</v>
      </c>
      <c r="F31" s="121">
        <v>32</v>
      </c>
      <c r="G31" s="58"/>
      <c r="H31" s="59"/>
      <c r="I31" s="59"/>
      <c r="J31" s="59"/>
      <c r="K31" s="58"/>
      <c r="L31" s="58"/>
      <c r="M31" s="58"/>
      <c r="N31" s="58"/>
      <c r="O31" s="58"/>
      <c r="P31" s="58"/>
      <c r="Q31" s="58"/>
      <c r="R31" s="13">
        <f>SUM(G31:Q31)</f>
        <v>0</v>
      </c>
      <c r="S31" s="36" t="s">
        <v>19</v>
      </c>
      <c r="X31" s="1"/>
    </row>
    <row r="32" spans="3:24" ht="67.5" customHeight="1">
      <c r="C32" s="131"/>
      <c r="D32" s="10" t="s">
        <v>61</v>
      </c>
      <c r="E32" s="119"/>
      <c r="F32" s="122"/>
      <c r="G32" s="62" t="str">
        <f>IF(G31=0, "", IF(MOD(G31, $F$31) = 0, G31/ $F$31, IF(INT(G31 / $F$31) = 0, MOD(G31, $F$31) &amp; " P", INT(G31 / $F$31) &amp; " + " &amp; MOD(G31, $F$31) &amp; " P")))</f>
        <v/>
      </c>
      <c r="H32" s="63" t="str">
        <f t="shared" ref="H32:Q32" si="5">IF(H31=0, "", IF(MOD(H31, $F$31) = 0, H31/ $F$31, IF(INT(H31 / $F$31) = 0, MOD(H31, $F$31) &amp; " P", INT(H31 / $F$31) &amp; " + " &amp; MOD(H31, $F$31) &amp; " P")))</f>
        <v/>
      </c>
      <c r="I32" s="63" t="str">
        <f t="shared" si="5"/>
        <v/>
      </c>
      <c r="J32" s="63" t="str">
        <f t="shared" si="5"/>
        <v/>
      </c>
      <c r="K32" s="62" t="str">
        <f t="shared" si="5"/>
        <v/>
      </c>
      <c r="L32" s="62" t="str">
        <f t="shared" si="5"/>
        <v/>
      </c>
      <c r="M32" s="62" t="str">
        <f t="shared" si="5"/>
        <v/>
      </c>
      <c r="N32" s="62" t="str">
        <f t="shared" si="5"/>
        <v/>
      </c>
      <c r="O32" s="62" t="str">
        <f t="shared" si="5"/>
        <v/>
      </c>
      <c r="P32" s="62" t="str">
        <f t="shared" si="5"/>
        <v/>
      </c>
      <c r="Q32" s="62" t="str">
        <f t="shared" si="5"/>
        <v/>
      </c>
      <c r="R32" s="106">
        <f>G31+H31+I31+J31+K31+L31+O33</f>
        <v>350</v>
      </c>
      <c r="S32" s="109">
        <f>O34</f>
        <v>350</v>
      </c>
      <c r="X32" s="1"/>
    </row>
    <row r="33" spans="3:24" ht="67.5" customHeight="1">
      <c r="C33" s="131"/>
      <c r="D33" s="15" t="s">
        <v>34</v>
      </c>
      <c r="E33" s="119"/>
      <c r="F33" s="122"/>
      <c r="G33" s="66"/>
      <c r="H33" s="67"/>
      <c r="I33" s="68"/>
      <c r="J33" s="69"/>
      <c r="K33" s="71"/>
      <c r="L33" s="66"/>
      <c r="M33" s="72"/>
      <c r="N33" s="72"/>
      <c r="O33" s="74">
        <v>350</v>
      </c>
      <c r="P33" s="72"/>
      <c r="Q33" s="84"/>
      <c r="R33" s="107"/>
      <c r="S33" s="110"/>
      <c r="X33" s="1"/>
    </row>
    <row r="34" spans="3:24" ht="67.5" customHeight="1" thickBot="1">
      <c r="C34" s="132"/>
      <c r="D34" s="14" t="s">
        <v>8</v>
      </c>
      <c r="E34" s="120"/>
      <c r="F34" s="123"/>
      <c r="G34" s="75"/>
      <c r="H34" s="87"/>
      <c r="I34" s="88"/>
      <c r="J34" s="89"/>
      <c r="K34" s="80"/>
      <c r="L34" s="86"/>
      <c r="M34" s="81"/>
      <c r="N34" s="81"/>
      <c r="O34" s="83">
        <f>SUM(O33-M31-N31-O31-P31-Q31)</f>
        <v>350</v>
      </c>
      <c r="P34" s="81"/>
      <c r="Q34" s="95"/>
      <c r="R34" s="108"/>
      <c r="S34" s="110"/>
      <c r="X34" s="1"/>
    </row>
    <row r="35" spans="3:24" ht="67.5" customHeight="1" thickBot="1">
      <c r="C35" s="37">
        <v>6</v>
      </c>
      <c r="D35" s="21" t="s">
        <v>69</v>
      </c>
      <c r="E35" s="118">
        <v>33</v>
      </c>
      <c r="F35" s="121">
        <v>27</v>
      </c>
      <c r="G35" s="58"/>
      <c r="H35" s="59"/>
      <c r="I35" s="59"/>
      <c r="J35" s="59"/>
      <c r="K35" s="58"/>
      <c r="L35" s="58"/>
      <c r="M35" s="58"/>
      <c r="N35" s="58"/>
      <c r="O35" s="58"/>
      <c r="P35" s="58"/>
      <c r="Q35" s="58"/>
      <c r="R35" s="13">
        <f>SUM(G35:Q35)</f>
        <v>0</v>
      </c>
      <c r="S35" s="36" t="s">
        <v>19</v>
      </c>
      <c r="X35" s="1"/>
    </row>
    <row r="36" spans="3:24" ht="67.5" customHeight="1">
      <c r="C36" s="38"/>
      <c r="D36" s="41" t="s">
        <v>71</v>
      </c>
      <c r="E36" s="119"/>
      <c r="F36" s="122"/>
      <c r="G36" s="62" t="str">
        <f>IF(G35=0, "", IF(MOD(G35, $F$35) = 0, G35/ $F$35, IF(INT(G35 / $F$35) = 0, MOD(G35, $F$35) &amp; " P", INT(G35 / $F$35) &amp; " + " &amp; MOD(G35, $F$35) &amp; " P")))</f>
        <v/>
      </c>
      <c r="H36" s="63" t="str">
        <f t="shared" ref="H36:Q36" si="6">IF(H35=0, "", IF(MOD(H35, $F$35) = 0, H35/ $F$35, IF(INT(H35 / $F$35) = 0, MOD(H35, $F$35) &amp; " P", INT(H35 / $F$35) &amp; " + " &amp; MOD(H35, $F$35) &amp; " P")))</f>
        <v/>
      </c>
      <c r="I36" s="63" t="str">
        <f t="shared" si="6"/>
        <v/>
      </c>
      <c r="J36" s="63" t="str">
        <f t="shared" si="6"/>
        <v/>
      </c>
      <c r="K36" s="62" t="str">
        <f t="shared" si="6"/>
        <v/>
      </c>
      <c r="L36" s="62" t="str">
        <f t="shared" si="6"/>
        <v/>
      </c>
      <c r="M36" s="62" t="str">
        <f t="shared" si="6"/>
        <v/>
      </c>
      <c r="N36" s="62" t="str">
        <f t="shared" si="6"/>
        <v/>
      </c>
      <c r="O36" s="62" t="str">
        <f t="shared" si="6"/>
        <v/>
      </c>
      <c r="P36" s="62" t="str">
        <f t="shared" si="6"/>
        <v/>
      </c>
      <c r="Q36" s="62" t="str">
        <f t="shared" si="6"/>
        <v/>
      </c>
      <c r="R36" s="106">
        <f>G35+H35+I35+J35+K35+L35+O37</f>
        <v>0</v>
      </c>
      <c r="S36" s="109">
        <f>O38</f>
        <v>0</v>
      </c>
      <c r="X36" s="1"/>
    </row>
    <row r="37" spans="3:24" ht="67.5" customHeight="1">
      <c r="C37" s="38"/>
      <c r="D37" s="40" t="s">
        <v>70</v>
      </c>
      <c r="E37" s="119"/>
      <c r="F37" s="122"/>
      <c r="G37" s="66"/>
      <c r="H37" s="67"/>
      <c r="I37" s="68"/>
      <c r="J37" s="69"/>
      <c r="K37" s="71"/>
      <c r="L37" s="66"/>
      <c r="M37" s="72"/>
      <c r="N37" s="72"/>
      <c r="O37" s="74">
        <v>0</v>
      </c>
      <c r="P37" s="72"/>
      <c r="Q37" s="84"/>
      <c r="R37" s="107"/>
      <c r="S37" s="110"/>
      <c r="X37" s="1"/>
    </row>
    <row r="38" spans="3:24" ht="67.5" customHeight="1" thickBot="1">
      <c r="C38" s="39"/>
      <c r="D38" s="14" t="s">
        <v>8</v>
      </c>
      <c r="E38" s="120"/>
      <c r="F38" s="123"/>
      <c r="G38" s="75"/>
      <c r="H38" s="87"/>
      <c r="I38" s="88"/>
      <c r="J38" s="89"/>
      <c r="K38" s="80"/>
      <c r="L38" s="86"/>
      <c r="M38" s="81"/>
      <c r="N38" s="81"/>
      <c r="O38" s="83">
        <f>SUM(O37-M35-N35-O35-P35-Q35)</f>
        <v>0</v>
      </c>
      <c r="P38" s="81"/>
      <c r="Q38" s="95"/>
      <c r="R38" s="108"/>
      <c r="S38" s="110"/>
      <c r="X38" s="1"/>
    </row>
    <row r="39" spans="3:24" ht="67.5" customHeight="1" thickBot="1">
      <c r="C39" s="37">
        <v>7</v>
      </c>
      <c r="D39" s="22" t="s">
        <v>74</v>
      </c>
      <c r="E39" s="24">
        <v>125</v>
      </c>
      <c r="F39" s="115">
        <v>27</v>
      </c>
      <c r="G39" s="58"/>
      <c r="H39" s="59"/>
      <c r="I39" s="59"/>
      <c r="J39" s="59"/>
      <c r="K39" s="58"/>
      <c r="L39" s="96"/>
      <c r="M39" s="58"/>
      <c r="N39" s="58"/>
      <c r="O39" s="58"/>
      <c r="P39" s="58"/>
      <c r="Q39" s="58"/>
      <c r="R39" s="13">
        <f>SUM(G39:Q39)</f>
        <v>0</v>
      </c>
      <c r="S39" s="35" t="s">
        <v>19</v>
      </c>
      <c r="X39" s="1"/>
    </row>
    <row r="40" spans="3:24" ht="67.5" customHeight="1">
      <c r="C40" s="38"/>
      <c r="D40" s="6" t="s">
        <v>75</v>
      </c>
      <c r="E40" s="25"/>
      <c r="F40" s="116"/>
      <c r="G40" s="62" t="str">
        <f>IF(G39=0, "", IF(MOD(G39, $F$39) = 0, G39/ $F$39, IF(INT(G39 / $F$39) = 0, MOD(G39, $F$39) &amp; " P", INT(G39 / $F$39) &amp; " + " &amp; MOD(G39, $F$39) &amp; " P")))</f>
        <v/>
      </c>
      <c r="H40" s="63" t="str">
        <f>IF(H39=0, "", IF(MOD(H39, $F$39) = 0, H39/ $F$39, IF(INT(H39 / $F$39) = 0, MOD(H39, $F$39) &amp; " P", INT(H39 / $F$39) &amp; " + " &amp; MOD(H39, $F$39) &amp; " P")))</f>
        <v/>
      </c>
      <c r="I40" s="63" t="str">
        <f>IF(I39=0, "", IF(MOD(I39, $F$39) = 0, I39/ $F$39, IF(INT(I39 / $F$39) = 0, MOD(I39, $F$39) &amp; " P", INT(I39 / $F$39) &amp; " + " &amp; MOD(I39, $F$39) &amp; " P")))</f>
        <v/>
      </c>
      <c r="J40" s="63" t="str">
        <f>IF(J39=0, "", IF(MOD(J39, $F$39) = 0, J39/ $F$39, IF(INT(J39 / $F$39) = 0, MOD(J39, $F$39) &amp; " P", INT(J39 / $F$39) &amp; " + " &amp; MOD(J39, $F$39) &amp; " P")))</f>
        <v/>
      </c>
      <c r="K40" s="62" t="str">
        <f t="shared" ref="K40:Q40" si="7">IF(K39=0, "", IF(MOD(K39, $F$39) = 0, K39/ $F$39, IF(INT(K39 / $F$39) = 0, MOD(K39, $F$39) &amp; " P", INT(K39 / $F$39) &amp; " + " &amp; MOD(K39, $F$39) &amp; " P")))</f>
        <v/>
      </c>
      <c r="L40" s="62" t="str">
        <f t="shared" si="7"/>
        <v/>
      </c>
      <c r="M40" s="62" t="str">
        <f t="shared" si="7"/>
        <v/>
      </c>
      <c r="N40" s="62" t="str">
        <f t="shared" si="7"/>
        <v/>
      </c>
      <c r="O40" s="62" t="str">
        <f t="shared" si="7"/>
        <v/>
      </c>
      <c r="P40" s="62" t="str">
        <f t="shared" si="7"/>
        <v/>
      </c>
      <c r="Q40" s="62" t="str">
        <f t="shared" si="7"/>
        <v/>
      </c>
      <c r="R40" s="106">
        <f>G39+H39+I39+J39+K39+L39+O41</f>
        <v>250</v>
      </c>
      <c r="S40" s="109">
        <f>O42</f>
        <v>250</v>
      </c>
      <c r="X40" s="1"/>
    </row>
    <row r="41" spans="3:24" ht="67.5" customHeight="1">
      <c r="C41" s="38"/>
      <c r="D41" s="7" t="s">
        <v>73</v>
      </c>
      <c r="E41" s="25"/>
      <c r="F41" s="116"/>
      <c r="G41" s="66"/>
      <c r="H41" s="67"/>
      <c r="I41" s="68"/>
      <c r="J41" s="69"/>
      <c r="K41" s="71"/>
      <c r="L41" s="66"/>
      <c r="M41" s="72"/>
      <c r="N41" s="72"/>
      <c r="O41" s="74">
        <v>250</v>
      </c>
      <c r="P41" s="72"/>
      <c r="Q41" s="84"/>
      <c r="R41" s="107"/>
      <c r="S41" s="110"/>
      <c r="X41" s="1"/>
    </row>
    <row r="42" spans="3:24" ht="67.5" customHeight="1" thickBot="1">
      <c r="C42" s="39"/>
      <c r="D42" s="8" t="s">
        <v>8</v>
      </c>
      <c r="E42" s="26"/>
      <c r="F42" s="117"/>
      <c r="G42" s="86"/>
      <c r="H42" s="87"/>
      <c r="I42" s="88"/>
      <c r="J42" s="89"/>
      <c r="K42" s="90"/>
      <c r="L42" s="86"/>
      <c r="M42" s="97"/>
      <c r="N42" s="97"/>
      <c r="O42" s="83">
        <f>SUM(O41-M39-N39-O39-P39-Q39)</f>
        <v>250</v>
      </c>
      <c r="P42" s="97"/>
      <c r="Q42" s="91"/>
      <c r="R42" s="108"/>
      <c r="S42" s="110"/>
      <c r="X42" s="1"/>
    </row>
    <row r="43" spans="3:24" ht="67.5" customHeight="1" thickBot="1">
      <c r="C43" s="37">
        <v>8</v>
      </c>
      <c r="D43" s="22" t="s">
        <v>72</v>
      </c>
      <c r="E43" s="24">
        <v>55</v>
      </c>
      <c r="F43" s="42">
        <v>36</v>
      </c>
      <c r="G43" s="58"/>
      <c r="H43" s="59"/>
      <c r="I43" s="59"/>
      <c r="J43" s="59"/>
      <c r="K43" s="58"/>
      <c r="L43" s="96"/>
      <c r="M43" s="58"/>
      <c r="N43" s="58"/>
      <c r="O43" s="58"/>
      <c r="P43" s="58"/>
      <c r="Q43" s="58"/>
      <c r="R43" s="13">
        <f>SUM(G43:Q43)</f>
        <v>0</v>
      </c>
      <c r="S43" s="35" t="s">
        <v>19</v>
      </c>
      <c r="X43" s="1"/>
    </row>
    <row r="44" spans="3:24" ht="67.5" customHeight="1">
      <c r="C44" s="38"/>
      <c r="D44" s="6" t="s">
        <v>29</v>
      </c>
      <c r="E44" s="25"/>
      <c r="F44" s="43"/>
      <c r="G44" s="62" t="str">
        <f>IF(G43=0, "", IF(MOD(G43, $F$43) = 0, G43/ $F$43, IF(INT(G43 / $F$43) = 0, MOD(G43, $F$43) &amp; " P", INT(G43 / $F$43) &amp; " + " &amp; MOD(G43, $F$43) &amp; " P")))</f>
        <v/>
      </c>
      <c r="H44" s="63" t="str">
        <f t="shared" ref="H44:Q44" si="8">IF(H43=0, "", IF(MOD(H43, $F$43) = 0, H43/ $F$43, IF(INT(H43 / $F$43) = 0, MOD(H43, $F$43) &amp; " P", INT(H43 / $F$43) &amp; " + " &amp; MOD(H43, $F$43) &amp; " P")))</f>
        <v/>
      </c>
      <c r="I44" s="63" t="str">
        <f t="shared" si="8"/>
        <v/>
      </c>
      <c r="J44" s="63" t="str">
        <f t="shared" si="8"/>
        <v/>
      </c>
      <c r="K44" s="62" t="str">
        <f t="shared" si="8"/>
        <v/>
      </c>
      <c r="L44" s="62" t="str">
        <f t="shared" si="8"/>
        <v/>
      </c>
      <c r="M44" s="62" t="str">
        <f t="shared" si="8"/>
        <v/>
      </c>
      <c r="N44" s="62" t="str">
        <f t="shared" si="8"/>
        <v/>
      </c>
      <c r="O44" s="62" t="str">
        <f t="shared" si="8"/>
        <v/>
      </c>
      <c r="P44" s="62" t="str">
        <f t="shared" si="8"/>
        <v/>
      </c>
      <c r="Q44" s="62" t="str">
        <f t="shared" si="8"/>
        <v/>
      </c>
      <c r="R44" s="106">
        <f>G43+H43+I43+J43+K43+L43+O45</f>
        <v>650</v>
      </c>
      <c r="S44" s="109">
        <f>O46</f>
        <v>650</v>
      </c>
      <c r="X44" s="1"/>
    </row>
    <row r="45" spans="3:24" ht="67.5" customHeight="1">
      <c r="C45" s="38"/>
      <c r="D45" s="7" t="s">
        <v>33</v>
      </c>
      <c r="E45" s="25"/>
      <c r="F45" s="43"/>
      <c r="G45" s="66"/>
      <c r="H45" s="67"/>
      <c r="I45" s="68"/>
      <c r="J45" s="69"/>
      <c r="K45" s="71"/>
      <c r="L45" s="66"/>
      <c r="M45" s="72"/>
      <c r="N45" s="72"/>
      <c r="O45" s="74">
        <v>650</v>
      </c>
      <c r="P45" s="72"/>
      <c r="Q45" s="84"/>
      <c r="R45" s="107"/>
      <c r="S45" s="110"/>
      <c r="X45" s="1"/>
    </row>
    <row r="46" spans="3:24" ht="67.5" customHeight="1" thickBot="1">
      <c r="C46" s="39"/>
      <c r="D46" s="8" t="s">
        <v>8</v>
      </c>
      <c r="E46" s="26"/>
      <c r="F46" s="44"/>
      <c r="G46" s="86"/>
      <c r="H46" s="87"/>
      <c r="I46" s="88"/>
      <c r="J46" s="89"/>
      <c r="K46" s="90"/>
      <c r="L46" s="86"/>
      <c r="M46" s="97"/>
      <c r="N46" s="97"/>
      <c r="O46" s="83">
        <f>SUM(O45-M43-N43-O43-P43-Q43)</f>
        <v>650</v>
      </c>
      <c r="P46" s="97"/>
      <c r="Q46" s="91"/>
      <c r="R46" s="108"/>
      <c r="S46" s="110"/>
      <c r="X46" s="1"/>
    </row>
    <row r="47" spans="3:24" ht="67.5" customHeight="1" thickBot="1">
      <c r="C47" s="37">
        <v>9</v>
      </c>
      <c r="D47" s="21" t="s">
        <v>39</v>
      </c>
      <c r="E47" s="24">
        <v>43</v>
      </c>
      <c r="F47" s="42">
        <v>20</v>
      </c>
      <c r="G47" s="58"/>
      <c r="H47" s="59"/>
      <c r="I47" s="59"/>
      <c r="J47" s="59"/>
      <c r="K47" s="98"/>
      <c r="L47" s="98"/>
      <c r="M47" s="98"/>
      <c r="N47" s="98"/>
      <c r="O47" s="98"/>
      <c r="P47" s="98"/>
      <c r="Q47" s="98"/>
      <c r="R47" s="13">
        <f>SUM(G47:Q47)</f>
        <v>0</v>
      </c>
      <c r="S47" s="35" t="s">
        <v>19</v>
      </c>
      <c r="X47" s="1"/>
    </row>
    <row r="48" spans="3:24" ht="67.5" customHeight="1">
      <c r="C48" s="38"/>
      <c r="D48" s="10" t="s">
        <v>40</v>
      </c>
      <c r="E48" s="25"/>
      <c r="F48" s="43"/>
      <c r="G48" s="62" t="str">
        <f>IF(G47=0, "", IF(MOD(G47, $F$47) = 0, G47/ $F$47, IF(INT(G47 / $F$47) = 0, MOD(G47, $F$47) &amp; " P", INT(G47 / $F$47) &amp; " + " &amp; MOD(G47, $F$47) &amp; " P")))</f>
        <v/>
      </c>
      <c r="H48" s="63" t="str">
        <f t="shared" ref="H48:L48" si="9">IF(H47=0, "", IF(MOD(H47, $F$47) = 0, H47/ $F$47, IF(INT(H47 / $F$47) = 0, MOD(H47, $F$47) &amp; " P", INT(H47 / $F$47) &amp; " + " &amp; MOD(H47, $F$47) &amp; " P")))</f>
        <v/>
      </c>
      <c r="I48" s="63" t="str">
        <f t="shared" si="9"/>
        <v/>
      </c>
      <c r="J48" s="63" t="str">
        <f t="shared" si="9"/>
        <v/>
      </c>
      <c r="K48" s="62" t="str">
        <f t="shared" si="9"/>
        <v/>
      </c>
      <c r="L48" s="62" t="str">
        <f t="shared" si="9"/>
        <v/>
      </c>
      <c r="M48" s="62" t="str">
        <f t="shared" ref="M48:Q48" si="10">IF(M47=0, "", IF(MOD(M47, $F$47) = 0, M47/ $F$47, IF(INT(M47 / $F$47) = 0, MOD(M47, $F$47) &amp; " P", INT(M47 / $F$47) &amp; " + " &amp; MOD(M47, $F$47) &amp; " P")))</f>
        <v/>
      </c>
      <c r="N48" s="62" t="str">
        <f t="shared" si="10"/>
        <v/>
      </c>
      <c r="O48" s="62" t="str">
        <f t="shared" si="10"/>
        <v/>
      </c>
      <c r="P48" s="62" t="str">
        <f t="shared" si="10"/>
        <v/>
      </c>
      <c r="Q48" s="62" t="str">
        <f t="shared" si="10"/>
        <v/>
      </c>
      <c r="R48" s="106">
        <f>G47+H47+I47+J47+K47+L47+O49</f>
        <v>150</v>
      </c>
      <c r="S48" s="109">
        <f>O50</f>
        <v>150</v>
      </c>
      <c r="X48" s="1"/>
    </row>
    <row r="49" spans="3:24" ht="67.5" customHeight="1">
      <c r="C49" s="38"/>
      <c r="D49" s="11" t="s">
        <v>37</v>
      </c>
      <c r="E49" s="25"/>
      <c r="F49" s="43"/>
      <c r="G49" s="99"/>
      <c r="H49" s="100"/>
      <c r="I49" s="100"/>
      <c r="J49" s="100"/>
      <c r="K49" s="101"/>
      <c r="L49" s="101"/>
      <c r="M49" s="101"/>
      <c r="N49" s="101"/>
      <c r="O49" s="74">
        <v>150</v>
      </c>
      <c r="P49" s="101"/>
      <c r="Q49" s="99"/>
      <c r="R49" s="107"/>
      <c r="S49" s="110"/>
      <c r="X49" s="1"/>
    </row>
    <row r="50" spans="3:24" ht="67.5" customHeight="1" thickBot="1">
      <c r="C50" s="39"/>
      <c r="D50" s="14" t="s">
        <v>8</v>
      </c>
      <c r="E50" s="26"/>
      <c r="F50" s="44"/>
      <c r="G50" s="75"/>
      <c r="H50" s="77"/>
      <c r="I50" s="77"/>
      <c r="J50" s="77"/>
      <c r="K50" s="102"/>
      <c r="L50" s="102"/>
      <c r="M50" s="81"/>
      <c r="N50" s="81"/>
      <c r="O50" s="103">
        <f>SUM(O49-M47-N47-O47-P47-Q47)</f>
        <v>150</v>
      </c>
      <c r="P50" s="81"/>
      <c r="Q50" s="95"/>
      <c r="R50" s="108"/>
      <c r="S50" s="111"/>
      <c r="X50" s="1"/>
    </row>
    <row r="51" spans="3:24" ht="67.5" customHeight="1" thickBot="1">
      <c r="C51" s="37">
        <v>10</v>
      </c>
      <c r="D51" s="21" t="s">
        <v>56</v>
      </c>
      <c r="E51" s="27">
        <v>79</v>
      </c>
      <c r="F51" s="42">
        <v>15</v>
      </c>
      <c r="G51" s="98"/>
      <c r="H51" s="104"/>
      <c r="I51" s="104"/>
      <c r="J51" s="104"/>
      <c r="K51" s="98"/>
      <c r="L51" s="98"/>
      <c r="M51" s="98"/>
      <c r="N51" s="98"/>
      <c r="O51" s="98"/>
      <c r="P51" s="98"/>
      <c r="Q51" s="98"/>
      <c r="R51" s="13">
        <f>SUM(G51:Q51)</f>
        <v>0</v>
      </c>
      <c r="S51" s="35" t="s">
        <v>19</v>
      </c>
      <c r="X51" s="1"/>
    </row>
    <row r="52" spans="3:24" ht="67.5" customHeight="1">
      <c r="C52" s="38"/>
      <c r="D52" s="16" t="s">
        <v>57</v>
      </c>
      <c r="E52" s="28"/>
      <c r="F52" s="43"/>
      <c r="G52" s="62" t="str">
        <f>IF(G51=0, "", IF(MOD(G51, $F$51) = 0, G51/ $F$51, IF(INT(G51 / $F$51) = 0, MOD(G51, $F$51) &amp; " P", INT(G51 / $F$51) &amp; " + " &amp; MOD(G51, $F$51) &amp; " P")))</f>
        <v/>
      </c>
      <c r="H52" s="63" t="str">
        <f t="shared" ref="H52:Q52" si="11">IF(H51=0, "", IF(MOD(H51, $F$51) = 0, H51/ $F$51, IF(INT(H51 / $F$51) = 0, MOD(H51, $F$51) &amp; " P", INT(H51 / $F$51) &amp; " + " &amp; MOD(H51, $F$51) &amp; " P")))</f>
        <v/>
      </c>
      <c r="I52" s="63" t="str">
        <f t="shared" si="11"/>
        <v/>
      </c>
      <c r="J52" s="63" t="str">
        <f t="shared" si="11"/>
        <v/>
      </c>
      <c r="K52" s="62" t="str">
        <f t="shared" si="11"/>
        <v/>
      </c>
      <c r="L52" s="62" t="str">
        <f t="shared" ref="L52" si="12">IF(L51=0, "", IF(MOD(L51, $F$59) = 0, L51/ $F$59, IF(INT(L51 / $F$59) = 0, MOD(L51, $F$59) &amp; " P", INT(L51 / $F$59) &amp; " + " &amp; MOD(L51, $F$59) &amp; " P")))</f>
        <v/>
      </c>
      <c r="M52" s="62" t="str">
        <f t="shared" si="11"/>
        <v/>
      </c>
      <c r="N52" s="62" t="str">
        <f t="shared" si="11"/>
        <v/>
      </c>
      <c r="O52" s="62" t="str">
        <f t="shared" si="11"/>
        <v/>
      </c>
      <c r="P52" s="62" t="str">
        <f t="shared" si="11"/>
        <v/>
      </c>
      <c r="Q52" s="62" t="str">
        <f t="shared" si="11"/>
        <v/>
      </c>
      <c r="R52" s="106">
        <f>G51+H51+I51+J51+K51+L51+O53</f>
        <v>230</v>
      </c>
      <c r="S52" s="109">
        <f>O54</f>
        <v>230</v>
      </c>
      <c r="X52" s="1"/>
    </row>
    <row r="53" spans="3:24" ht="67.5" customHeight="1">
      <c r="C53" s="38"/>
      <c r="D53" s="11" t="s">
        <v>58</v>
      </c>
      <c r="E53" s="29"/>
      <c r="F53" s="43"/>
      <c r="G53" s="99"/>
      <c r="H53" s="100"/>
      <c r="I53" s="100"/>
      <c r="J53" s="100"/>
      <c r="K53" s="101"/>
      <c r="L53" s="101"/>
      <c r="M53" s="101"/>
      <c r="N53" s="101"/>
      <c r="O53" s="74">
        <v>230</v>
      </c>
      <c r="P53" s="101"/>
      <c r="Q53" s="99"/>
      <c r="R53" s="107"/>
      <c r="S53" s="110"/>
      <c r="X53" s="1"/>
    </row>
    <row r="54" spans="3:24" ht="67.5" customHeight="1" thickBot="1">
      <c r="C54" s="39"/>
      <c r="D54" s="14" t="s">
        <v>8</v>
      </c>
      <c r="E54" s="30"/>
      <c r="F54" s="44"/>
      <c r="G54" s="75"/>
      <c r="H54" s="77"/>
      <c r="I54" s="77"/>
      <c r="J54" s="77"/>
      <c r="K54" s="102"/>
      <c r="L54" s="102"/>
      <c r="M54" s="81"/>
      <c r="N54" s="81"/>
      <c r="O54" s="103">
        <f>SUM(O53-M51-N51-O51-P51-Q51)</f>
        <v>230</v>
      </c>
      <c r="P54" s="81"/>
      <c r="Q54" s="95"/>
      <c r="R54" s="108"/>
      <c r="S54" s="111"/>
      <c r="X54" s="1"/>
    </row>
    <row r="55" spans="3:24" ht="67.5" customHeight="1" thickBot="1">
      <c r="C55" s="37">
        <v>11</v>
      </c>
      <c r="D55" s="22" t="s">
        <v>51</v>
      </c>
      <c r="E55" s="24">
        <v>17</v>
      </c>
      <c r="F55" s="42">
        <v>45</v>
      </c>
      <c r="G55" s="98"/>
      <c r="H55" s="104"/>
      <c r="I55" s="104"/>
      <c r="J55" s="104"/>
      <c r="K55" s="98"/>
      <c r="L55" s="98"/>
      <c r="M55" s="58"/>
      <c r="N55" s="58"/>
      <c r="O55" s="58"/>
      <c r="P55" s="58"/>
      <c r="Q55" s="58"/>
      <c r="R55" s="13">
        <f>SUM(G55:Q55)</f>
        <v>0</v>
      </c>
      <c r="S55" s="35" t="s">
        <v>19</v>
      </c>
      <c r="X55" s="1"/>
    </row>
    <row r="56" spans="3:24" ht="67.5" customHeight="1">
      <c r="C56" s="38"/>
      <c r="D56" s="6" t="s">
        <v>26</v>
      </c>
      <c r="E56" s="25"/>
      <c r="F56" s="43"/>
      <c r="G56" s="62" t="str">
        <f>IF(G55=0, "", IF(MOD(G55, $F$55) = 0, G55 / $F$55, IF(INT(G55 / $F$55) = 0, MOD(G55, $F$55) &amp; " P", INT(G55 / $F$55) &amp; " + " &amp; MOD(G55, $F$55) &amp; " P")))</f>
        <v/>
      </c>
      <c r="H56" s="63" t="str">
        <f t="shared" ref="H56:L56" si="13">IF(H55=0, "", IF(MOD(H55, $F$55) = 0, H55 / $F$55, IF(INT(H55 / $F$55) = 0, MOD(H55, $F$55) &amp; " P", INT(H55 / $F$55) &amp; " + " &amp; MOD(H55, $F$55) &amp; " P")))</f>
        <v/>
      </c>
      <c r="I56" s="63" t="str">
        <f t="shared" si="13"/>
        <v/>
      </c>
      <c r="J56" s="63" t="str">
        <f t="shared" si="13"/>
        <v/>
      </c>
      <c r="K56" s="62" t="str">
        <f t="shared" si="13"/>
        <v/>
      </c>
      <c r="L56" s="62" t="str">
        <f t="shared" si="13"/>
        <v/>
      </c>
      <c r="M56" s="62" t="str">
        <f>IF(M55=0, "", IF(MOD(M55, $F$55) = 0, M55 / $F$55, IF(INT(M55 / $F$55) = 0, MOD(M55, $F$55) &amp; " P", INT(M55 / $F$55) &amp; " + " &amp; MOD(M55, $F$55) &amp; " P")))</f>
        <v/>
      </c>
      <c r="N56" s="62" t="str">
        <f>IF(N55=0, "", IF(MOD(N55, $F$55) = 0, N55 / $F$55, IF(INT(N55 / $F$55) = 0, MOD(N55, $F$55) &amp; " P", INT(N55 / $F$55) &amp; " + " &amp; MOD(N55, $F$55) &amp; " P")))</f>
        <v/>
      </c>
      <c r="O56" s="62" t="str">
        <f>IF(O55=0, "", IF(MOD(O55, $F$55) = 0, O55 / $F$55, IF(INT(O55 / $F$55) = 0, MOD(O55, $F$55) &amp; " P", INT(O55 / $F$55) &amp; " + " &amp; MOD(O55, $F$55) &amp; " P")))</f>
        <v/>
      </c>
      <c r="P56" s="62" t="str">
        <f>IF(P55=0, "", IF(MOD(P55, $F$55) = 0, P55 / $F$55, IF(INT(P55 / $F$55) = 0, MOD(P55, $F$55) &amp; " P", INT(P55 / $F$55) &amp; " + " &amp; MOD(P55, $F$55) &amp; " P")))</f>
        <v/>
      </c>
      <c r="Q56" s="62" t="str">
        <f>IF(Q55=0, "", IF(MOD(Q55, $F$55) = 0, Q55 / $F$55, IF(INT(Q55 / $F$55) = 0, MOD(Q55, $F$55) &amp; " P", INT(Q55 / $F$55) &amp; " + " &amp; MOD(Q55, $F$55) &amp; " P")))</f>
        <v/>
      </c>
      <c r="R56" s="106">
        <f>G55+H55+I55+J55+K55+L55+O57</f>
        <v>60</v>
      </c>
      <c r="S56" s="109">
        <f>SUM(O58)</f>
        <v>60</v>
      </c>
      <c r="X56" s="1"/>
    </row>
    <row r="57" spans="3:24" ht="67.5" customHeight="1">
      <c r="C57" s="38"/>
      <c r="D57" s="7" t="s">
        <v>32</v>
      </c>
      <c r="E57" s="25"/>
      <c r="F57" s="43"/>
      <c r="G57" s="66"/>
      <c r="H57" s="67"/>
      <c r="I57" s="68"/>
      <c r="J57" s="69"/>
      <c r="K57" s="71"/>
      <c r="L57" s="66"/>
      <c r="M57" s="72"/>
      <c r="N57" s="72"/>
      <c r="O57" s="74">
        <v>60</v>
      </c>
      <c r="P57" s="72"/>
      <c r="Q57" s="84"/>
      <c r="R57" s="107"/>
      <c r="S57" s="110"/>
      <c r="X57" s="1"/>
    </row>
    <row r="58" spans="3:24" ht="67.5" customHeight="1" thickBot="1">
      <c r="C58" s="39"/>
      <c r="D58" s="8" t="s">
        <v>8</v>
      </c>
      <c r="E58" s="26"/>
      <c r="F58" s="44"/>
      <c r="G58" s="75"/>
      <c r="H58" s="76"/>
      <c r="I58" s="77"/>
      <c r="J58" s="78"/>
      <c r="K58" s="80"/>
      <c r="L58" s="75"/>
      <c r="M58" s="81"/>
      <c r="N58" s="81"/>
      <c r="O58" s="83">
        <f>SUM(O57-M55-N55-O55-P55-Q55)</f>
        <v>60</v>
      </c>
      <c r="P58" s="81"/>
      <c r="Q58" s="95"/>
      <c r="R58" s="108"/>
      <c r="S58" s="111"/>
      <c r="X58" s="1"/>
    </row>
    <row r="59" spans="3:24" ht="67.5" customHeight="1" thickBot="1">
      <c r="C59" s="37">
        <v>12</v>
      </c>
      <c r="D59" s="21" t="s">
        <v>66</v>
      </c>
      <c r="E59" s="27">
        <v>59.3</v>
      </c>
      <c r="F59" s="42">
        <v>15</v>
      </c>
      <c r="G59" s="98"/>
      <c r="H59" s="104"/>
      <c r="I59" s="104"/>
      <c r="J59" s="104"/>
      <c r="K59" s="98"/>
      <c r="L59" s="98"/>
      <c r="M59" s="98"/>
      <c r="N59" s="98"/>
      <c r="O59" s="98"/>
      <c r="P59" s="98"/>
      <c r="Q59" s="98"/>
      <c r="R59" s="13">
        <f>SUM(G59:Q59)</f>
        <v>0</v>
      </c>
      <c r="S59" s="35" t="s">
        <v>19</v>
      </c>
      <c r="X59" s="1"/>
    </row>
    <row r="60" spans="3:24" ht="67.5" customHeight="1">
      <c r="C60" s="38"/>
      <c r="D60" s="16" t="s">
        <v>67</v>
      </c>
      <c r="E60" s="29"/>
      <c r="F60" s="43"/>
      <c r="G60" s="62" t="str">
        <f>IF(G59=0, "", IF(MOD(G59, $F$59) = 0, G59/ $F$59, IF(INT(G59 / $F$59) = 0, MOD(G59, $F$59) &amp; " P", INT(G59 / $F$59) &amp; " + " &amp; MOD(G59, $F$59) &amp; " P")))</f>
        <v/>
      </c>
      <c r="H60" s="63" t="str">
        <f t="shared" ref="H60:Q60" si="14">IF(H59=0, "", IF(MOD(H59, $F$59) = 0, H59/ $F$59, IF(INT(H59 / $F$59) = 0, MOD(H59, $F$59) &amp; " P", INT(H59 / $F$59) &amp; " + " &amp; MOD(H59, $F$59) &amp; " P")))</f>
        <v/>
      </c>
      <c r="I60" s="63" t="str">
        <f t="shared" si="14"/>
        <v/>
      </c>
      <c r="J60" s="63" t="str">
        <f t="shared" si="14"/>
        <v/>
      </c>
      <c r="K60" s="62" t="str">
        <f t="shared" si="14"/>
        <v/>
      </c>
      <c r="L60" s="62" t="str">
        <f t="shared" si="14"/>
        <v/>
      </c>
      <c r="M60" s="62" t="str">
        <f t="shared" si="14"/>
        <v/>
      </c>
      <c r="N60" s="62" t="str">
        <f t="shared" si="14"/>
        <v/>
      </c>
      <c r="O60" s="62" t="str">
        <f t="shared" si="14"/>
        <v/>
      </c>
      <c r="P60" s="62" t="str">
        <f t="shared" si="14"/>
        <v/>
      </c>
      <c r="Q60" s="62" t="str">
        <f t="shared" si="14"/>
        <v/>
      </c>
      <c r="R60" s="106">
        <f>G59+H59+I59+J59+K59+L59+O61</f>
        <v>270</v>
      </c>
      <c r="S60" s="109">
        <f>O62</f>
        <v>270</v>
      </c>
      <c r="X60" s="1"/>
    </row>
    <row r="61" spans="3:24" ht="67.5" customHeight="1">
      <c r="C61" s="38"/>
      <c r="D61" s="11" t="s">
        <v>68</v>
      </c>
      <c r="E61" s="29"/>
      <c r="F61" s="43"/>
      <c r="G61" s="99"/>
      <c r="H61" s="100"/>
      <c r="I61" s="100"/>
      <c r="J61" s="100"/>
      <c r="K61" s="101"/>
      <c r="L61" s="101"/>
      <c r="M61" s="101"/>
      <c r="N61" s="101"/>
      <c r="O61" s="74">
        <v>270</v>
      </c>
      <c r="P61" s="101"/>
      <c r="Q61" s="99"/>
      <c r="R61" s="107"/>
      <c r="S61" s="110"/>
      <c r="X61" s="1"/>
    </row>
    <row r="62" spans="3:24" ht="67.5" customHeight="1" thickBot="1">
      <c r="C62" s="39"/>
      <c r="D62" s="14" t="s">
        <v>8</v>
      </c>
      <c r="E62" s="30"/>
      <c r="F62" s="44"/>
      <c r="G62" s="75"/>
      <c r="H62" s="77"/>
      <c r="I62" s="77"/>
      <c r="J62" s="77"/>
      <c r="K62" s="102"/>
      <c r="L62" s="102"/>
      <c r="M62" s="81"/>
      <c r="N62" s="81"/>
      <c r="O62" s="103">
        <f>SUM(O61-M59-N59-O59-P59-Q59)</f>
        <v>270</v>
      </c>
      <c r="P62" s="81"/>
      <c r="Q62" s="95"/>
      <c r="R62" s="108"/>
      <c r="S62" s="111"/>
      <c r="X62" s="1"/>
    </row>
    <row r="63" spans="3:24" ht="67.5" customHeight="1" thickBot="1">
      <c r="C63" s="37">
        <v>13</v>
      </c>
      <c r="D63" s="21" t="s">
        <v>52</v>
      </c>
      <c r="E63" s="27">
        <v>66.5</v>
      </c>
      <c r="F63" s="42">
        <v>15</v>
      </c>
      <c r="G63" s="98"/>
      <c r="H63" s="104"/>
      <c r="I63" s="104"/>
      <c r="J63" s="104"/>
      <c r="K63" s="98"/>
      <c r="L63" s="98"/>
      <c r="M63" s="98"/>
      <c r="N63" s="98"/>
      <c r="O63" s="98"/>
      <c r="P63" s="98"/>
      <c r="Q63" s="98"/>
      <c r="R63" s="13">
        <f>SUM(G63:Q63)</f>
        <v>0</v>
      </c>
      <c r="S63" s="35" t="s">
        <v>19</v>
      </c>
      <c r="X63" s="1"/>
    </row>
    <row r="64" spans="3:24" ht="67.5" customHeight="1">
      <c r="C64" s="38"/>
      <c r="D64" s="16" t="s">
        <v>54</v>
      </c>
      <c r="E64" s="29"/>
      <c r="F64" s="43"/>
      <c r="G64" s="62" t="str">
        <f>IF(G63=0, "", IF(MOD(G63, $F$63) = 0, G63/ $F$63, IF(INT(G63 / $F$63) = 0, MOD(G63, $F$63) &amp; " P", INT(G63 / $F$63) &amp; " + " &amp; MOD(G63, $F$63) &amp; " P")))</f>
        <v/>
      </c>
      <c r="H64" s="63" t="str">
        <f t="shared" ref="H64:Q64" si="15">IF(H63=0, "", IF(MOD(H63, $F$63) = 0, H63/ $F$63, IF(INT(H63 / $F$63) = 0, MOD(H63, $F$63) &amp; " P", INT(H63 / $F$63) &amp; " + " &amp; MOD(H63, $F$63) &amp; " P")))</f>
        <v/>
      </c>
      <c r="I64" s="63" t="str">
        <f t="shared" si="15"/>
        <v/>
      </c>
      <c r="J64" s="63" t="str">
        <f t="shared" si="15"/>
        <v/>
      </c>
      <c r="K64" s="62" t="str">
        <f t="shared" si="15"/>
        <v/>
      </c>
      <c r="L64" s="62" t="str">
        <f t="shared" si="15"/>
        <v/>
      </c>
      <c r="M64" s="62" t="str">
        <f t="shared" si="15"/>
        <v/>
      </c>
      <c r="N64" s="62" t="str">
        <f t="shared" si="15"/>
        <v/>
      </c>
      <c r="O64" s="62" t="str">
        <f t="shared" si="15"/>
        <v/>
      </c>
      <c r="P64" s="62" t="str">
        <f t="shared" si="15"/>
        <v/>
      </c>
      <c r="Q64" s="62" t="str">
        <f t="shared" si="15"/>
        <v/>
      </c>
      <c r="R64" s="106">
        <f>G63+H63+I63+J63+K63+L63+O65</f>
        <v>120</v>
      </c>
      <c r="S64" s="109">
        <f>O66</f>
        <v>120</v>
      </c>
      <c r="X64" s="1"/>
    </row>
    <row r="65" spans="3:24" ht="67.5" customHeight="1">
      <c r="C65" s="38"/>
      <c r="D65" s="11" t="s">
        <v>53</v>
      </c>
      <c r="E65" s="29"/>
      <c r="F65" s="43"/>
      <c r="G65" s="99"/>
      <c r="H65" s="100"/>
      <c r="I65" s="100"/>
      <c r="J65" s="100"/>
      <c r="K65" s="101"/>
      <c r="L65" s="101"/>
      <c r="M65" s="101"/>
      <c r="N65" s="101"/>
      <c r="O65" s="74">
        <v>120</v>
      </c>
      <c r="P65" s="101"/>
      <c r="Q65" s="99"/>
      <c r="R65" s="107"/>
      <c r="S65" s="110"/>
      <c r="X65" s="1"/>
    </row>
    <row r="66" spans="3:24" ht="67.5" customHeight="1" thickBot="1">
      <c r="C66" s="39"/>
      <c r="D66" s="14" t="s">
        <v>8</v>
      </c>
      <c r="E66" s="30"/>
      <c r="F66" s="44"/>
      <c r="G66" s="75"/>
      <c r="H66" s="77"/>
      <c r="I66" s="77"/>
      <c r="J66" s="77"/>
      <c r="K66" s="102"/>
      <c r="L66" s="102"/>
      <c r="M66" s="81"/>
      <c r="N66" s="81"/>
      <c r="O66" s="103">
        <f>SUM(O65-M63-N63-O63-P63-Q63)</f>
        <v>120</v>
      </c>
      <c r="P66" s="81"/>
      <c r="Q66" s="95"/>
      <c r="R66" s="108"/>
      <c r="S66" s="111"/>
      <c r="X66" s="1"/>
    </row>
    <row r="67" spans="3:24" ht="67.5" customHeight="1" thickBot="1">
      <c r="C67" s="37">
        <v>14</v>
      </c>
      <c r="D67" s="22" t="s">
        <v>63</v>
      </c>
      <c r="E67" s="24">
        <v>34</v>
      </c>
      <c r="F67" s="42">
        <v>27</v>
      </c>
      <c r="G67" s="98"/>
      <c r="H67" s="104"/>
      <c r="I67" s="104"/>
      <c r="J67" s="104"/>
      <c r="K67" s="98"/>
      <c r="L67" s="98"/>
      <c r="M67" s="98"/>
      <c r="N67" s="98"/>
      <c r="O67" s="98"/>
      <c r="P67" s="98"/>
      <c r="Q67" s="98"/>
      <c r="R67" s="13">
        <f>SUM(G67:Q67)</f>
        <v>0</v>
      </c>
      <c r="S67" s="35" t="s">
        <v>19</v>
      </c>
      <c r="X67" s="1"/>
    </row>
    <row r="68" spans="3:24" ht="67.5" customHeight="1">
      <c r="C68" s="38"/>
      <c r="D68" s="10" t="s">
        <v>65</v>
      </c>
      <c r="E68" s="25"/>
      <c r="F68" s="43"/>
      <c r="G68" s="62" t="str">
        <f>IF(G67=0, "", IF(MOD(G67, $F$67) = 0, G67/ $F$67, IF(INT(G67 / $F$67) = 0, MOD(G67, $F$67) &amp; " P", INT(G67 / $F$67) &amp; " + " &amp; MOD(G67, $F$67) &amp; " P")))</f>
        <v/>
      </c>
      <c r="H68" s="63" t="str">
        <f t="shared" ref="H68:M68" si="16">IF(H67=0, "", IF(MOD(H67, $F$67) = 0, H67/ $F$67, IF(INT(H67 / $F$67) = 0, MOD(H67, $F$67) &amp; " P", INT(H67 / $F$67) &amp; " + " &amp; MOD(H67, $F$67) &amp; " P")))</f>
        <v/>
      </c>
      <c r="I68" s="63" t="str">
        <f t="shared" si="16"/>
        <v/>
      </c>
      <c r="J68" s="63" t="str">
        <f t="shared" si="16"/>
        <v/>
      </c>
      <c r="K68" s="62" t="str">
        <f t="shared" si="16"/>
        <v/>
      </c>
      <c r="L68" s="62" t="str">
        <f t="shared" si="16"/>
        <v/>
      </c>
      <c r="M68" s="62" t="str">
        <f t="shared" si="16"/>
        <v/>
      </c>
      <c r="N68" s="62" t="str">
        <f>IF(N67=0, "", IF(MOD(N67, $F$67) = 0, N67/ $F$67, IF(INT(N67 / $F$67) = 0, MOD(N67, $F$67) &amp; " P", INT(N67 / $F$67) &amp; " + " &amp; MOD(N67, $F$67) &amp; " P")))</f>
        <v/>
      </c>
      <c r="O68" s="62" t="str">
        <f>IF(O67=0, "", IF(MOD(O67, $F$67) = 0, O67/ $F$67, IF(INT(O67 / $F$67) = 0, MOD(O67, $F$67) &amp; " P", INT(O67 / $F$67) &amp; " + " &amp; MOD(O67, $F$67) &amp; " P")))</f>
        <v/>
      </c>
      <c r="P68" s="62" t="str">
        <f>IF(P67=0, "", IF(MOD(P67, $F$67) = 0, P67/ $F$67, IF(INT(P67 / $F$67) = 0, MOD(P67, $F$67) &amp; " P", INT(P67 / $F$67) &amp; " + " &amp; MOD(P67, $F$67) &amp; " P")))</f>
        <v/>
      </c>
      <c r="Q68" s="62" t="str">
        <f>IF(Q67=0, "", IF(MOD(Q67, $F$67) = 0, Q67/ $F$67, IF(INT(Q67 / $F$67) = 0, MOD(Q67, $F$67) &amp; " P", INT(Q67 / $F$67) &amp; " + " &amp; MOD(Q67, $F$67) &amp; " P")))</f>
        <v/>
      </c>
      <c r="R68" s="106">
        <f>G67+H67+I67+J67+K67+L67+O69</f>
        <v>320</v>
      </c>
      <c r="S68" s="109">
        <f>O70</f>
        <v>320</v>
      </c>
      <c r="X68" s="1"/>
    </row>
    <row r="69" spans="3:24" ht="67.5" customHeight="1">
      <c r="C69" s="38"/>
      <c r="D69" s="15" t="s">
        <v>64</v>
      </c>
      <c r="E69" s="25"/>
      <c r="F69" s="43"/>
      <c r="G69" s="99"/>
      <c r="H69" s="100"/>
      <c r="I69" s="100"/>
      <c r="J69" s="100"/>
      <c r="K69" s="101"/>
      <c r="L69" s="101"/>
      <c r="M69" s="101"/>
      <c r="N69" s="101"/>
      <c r="O69" s="74">
        <v>320</v>
      </c>
      <c r="P69" s="101"/>
      <c r="Q69" s="99"/>
      <c r="R69" s="107"/>
      <c r="S69" s="110"/>
      <c r="X69" s="1"/>
    </row>
    <row r="70" spans="3:24" ht="67.5" customHeight="1" thickBot="1">
      <c r="C70" s="39"/>
      <c r="D70" s="14" t="s">
        <v>8</v>
      </c>
      <c r="E70" s="26"/>
      <c r="F70" s="44"/>
      <c r="G70" s="75"/>
      <c r="H70" s="77"/>
      <c r="I70" s="77"/>
      <c r="J70" s="77"/>
      <c r="K70" s="102"/>
      <c r="L70" s="102"/>
      <c r="M70" s="81"/>
      <c r="N70" s="81"/>
      <c r="O70" s="103">
        <f>SUM(O69-M67-N67-O67-P67-Q67)</f>
        <v>320</v>
      </c>
      <c r="P70" s="81"/>
      <c r="Q70" s="95"/>
      <c r="R70" s="108"/>
      <c r="S70" s="111"/>
      <c r="X70" s="1"/>
    </row>
    <row r="71" spans="3:24" ht="67.5" customHeight="1" thickBot="1">
      <c r="C71" s="37">
        <v>15</v>
      </c>
      <c r="D71" s="22" t="s">
        <v>22</v>
      </c>
      <c r="E71" s="24">
        <v>42</v>
      </c>
      <c r="F71" s="42">
        <v>20</v>
      </c>
      <c r="G71" s="98"/>
      <c r="H71" s="104"/>
      <c r="I71" s="104"/>
      <c r="J71" s="104"/>
      <c r="K71" s="98"/>
      <c r="L71" s="98"/>
      <c r="M71" s="58"/>
      <c r="N71" s="58"/>
      <c r="O71" s="58"/>
      <c r="P71" s="58"/>
      <c r="Q71" s="58"/>
      <c r="R71" s="13">
        <f>SUM(G71:Q71)</f>
        <v>0</v>
      </c>
      <c r="S71" s="35" t="s">
        <v>19</v>
      </c>
      <c r="X71" s="1"/>
    </row>
    <row r="72" spans="3:24" ht="67.5" customHeight="1">
      <c r="C72" s="38"/>
      <c r="D72" s="10" t="s">
        <v>27</v>
      </c>
      <c r="E72" s="25"/>
      <c r="F72" s="43"/>
      <c r="G72" s="62" t="str">
        <f>IF(G71=0, "", IF(MOD(G71, $F$71) = 0, G71/ $F$71, IF(INT(G71 / $F$71) = 0, MOD(G71, $F$71) &amp; " P", INT(G71 / $F$71) &amp; " + " &amp; MOD(G71, $F$71) &amp; " P")))</f>
        <v/>
      </c>
      <c r="H72" s="63" t="str">
        <f t="shared" ref="H72:Q72" si="17">IF(H71=0, "", IF(MOD(H71, $F$71) = 0, H71/ $F$71, IF(INT(H71 / $F$71) = 0, MOD(H71, $F$71) &amp; " P", INT(H71 / $F$71) &amp; " + " &amp; MOD(H71, $F$71) &amp; " P")))</f>
        <v/>
      </c>
      <c r="I72" s="63" t="str">
        <f t="shared" si="17"/>
        <v/>
      </c>
      <c r="J72" s="63" t="str">
        <f t="shared" si="17"/>
        <v/>
      </c>
      <c r="K72" s="62" t="str">
        <f t="shared" si="17"/>
        <v/>
      </c>
      <c r="L72" s="62" t="str">
        <f t="shared" si="17"/>
        <v/>
      </c>
      <c r="M72" s="62" t="str">
        <f t="shared" si="17"/>
        <v/>
      </c>
      <c r="N72" s="62" t="str">
        <f t="shared" si="17"/>
        <v/>
      </c>
      <c r="O72" s="62" t="str">
        <f t="shared" si="17"/>
        <v/>
      </c>
      <c r="P72" s="62" t="str">
        <f t="shared" si="17"/>
        <v/>
      </c>
      <c r="Q72" s="62" t="str">
        <f t="shared" si="17"/>
        <v/>
      </c>
      <c r="R72" s="106">
        <f>G71+H71+I71+J71+K71+L71+O73</f>
        <v>200</v>
      </c>
      <c r="S72" s="109">
        <f>O74</f>
        <v>200</v>
      </c>
      <c r="X72" s="1"/>
    </row>
    <row r="73" spans="3:24" ht="67.5" customHeight="1">
      <c r="C73" s="38"/>
      <c r="D73" s="15" t="s">
        <v>31</v>
      </c>
      <c r="E73" s="25"/>
      <c r="F73" s="43"/>
      <c r="G73" s="99"/>
      <c r="H73" s="100"/>
      <c r="I73" s="100"/>
      <c r="J73" s="100"/>
      <c r="K73" s="101"/>
      <c r="L73" s="101"/>
      <c r="M73" s="101"/>
      <c r="N73" s="101"/>
      <c r="O73" s="74">
        <v>200</v>
      </c>
      <c r="P73" s="101"/>
      <c r="Q73" s="99"/>
      <c r="R73" s="107"/>
      <c r="S73" s="110"/>
      <c r="X73" s="1"/>
    </row>
    <row r="74" spans="3:24" ht="67.5" customHeight="1" thickBot="1">
      <c r="C74" s="39"/>
      <c r="D74" s="14" t="s">
        <v>8</v>
      </c>
      <c r="E74" s="26"/>
      <c r="F74" s="44"/>
      <c r="G74" s="75"/>
      <c r="H74" s="77"/>
      <c r="I74" s="77"/>
      <c r="J74" s="77"/>
      <c r="K74" s="102"/>
      <c r="L74" s="102"/>
      <c r="M74" s="81"/>
      <c r="N74" s="81"/>
      <c r="O74" s="103">
        <f>SUM(O73-M71-N71-O71-P71-Q71)</f>
        <v>200</v>
      </c>
      <c r="P74" s="81"/>
      <c r="Q74" s="95"/>
      <c r="R74" s="108"/>
      <c r="S74" s="111"/>
      <c r="X74" s="1"/>
    </row>
    <row r="75" spans="3:24" ht="67.5" customHeight="1" thickBot="1">
      <c r="C75" s="37">
        <v>16</v>
      </c>
      <c r="D75" s="23" t="s">
        <v>50</v>
      </c>
      <c r="E75" s="31">
        <v>90</v>
      </c>
      <c r="F75" s="42">
        <v>32</v>
      </c>
      <c r="G75" s="98"/>
      <c r="H75" s="104"/>
      <c r="I75" s="104"/>
      <c r="J75" s="104"/>
      <c r="K75" s="98"/>
      <c r="L75" s="98"/>
      <c r="M75" s="58"/>
      <c r="N75" s="58"/>
      <c r="O75" s="58"/>
      <c r="P75" s="58"/>
      <c r="Q75" s="58"/>
      <c r="R75" s="13">
        <f>SUM(G75:Q75)</f>
        <v>0</v>
      </c>
      <c r="S75" s="35" t="s">
        <v>19</v>
      </c>
      <c r="X75" s="1"/>
    </row>
    <row r="76" spans="3:24" ht="67.5" customHeight="1">
      <c r="C76" s="38"/>
      <c r="D76" s="10" t="s">
        <v>28</v>
      </c>
      <c r="E76" s="32"/>
      <c r="F76" s="43"/>
      <c r="G76" s="62" t="str">
        <f>IF(G75=0, "", IF(MOD(G75, $F$75) = 0, G75/ $F$75, IF(INT(G75 / $F$75) = 0, MOD(G75, $F$75) &amp; " P", INT(G75 / $F$75) &amp; " + " &amp; MOD(G75, $F$75) &amp; " P")))</f>
        <v/>
      </c>
      <c r="H76" s="63" t="str">
        <f t="shared" ref="H76:Q76" si="18">IF(H75=0, "", IF(MOD(H75, $F$75) = 0, H75/ $F$75, IF(INT(H75 / $F$75) = 0, MOD(H75, $F$75) &amp; " P", INT(H75 / $F$75) &amp; " + " &amp; MOD(H75, $F$75) &amp; " P")))</f>
        <v/>
      </c>
      <c r="I76" s="63" t="str">
        <f t="shared" si="18"/>
        <v/>
      </c>
      <c r="J76" s="63" t="str">
        <f t="shared" si="18"/>
        <v/>
      </c>
      <c r="K76" s="62" t="str">
        <f t="shared" si="18"/>
        <v/>
      </c>
      <c r="L76" s="62" t="str">
        <f t="shared" si="18"/>
        <v/>
      </c>
      <c r="M76" s="62" t="str">
        <f t="shared" si="18"/>
        <v/>
      </c>
      <c r="N76" s="62" t="str">
        <f t="shared" si="18"/>
        <v/>
      </c>
      <c r="O76" s="62" t="str">
        <f t="shared" si="18"/>
        <v/>
      </c>
      <c r="P76" s="62" t="str">
        <f t="shared" si="18"/>
        <v/>
      </c>
      <c r="Q76" s="62" t="str">
        <f t="shared" si="18"/>
        <v/>
      </c>
      <c r="R76" s="106">
        <f>G75+H75+I75+J75+K75+L75+O77</f>
        <v>100</v>
      </c>
      <c r="S76" s="109">
        <f>O78</f>
        <v>100</v>
      </c>
      <c r="X76" s="1"/>
    </row>
    <row r="77" spans="3:24" ht="67.5" customHeight="1">
      <c r="C77" s="38"/>
      <c r="D77" s="15" t="s">
        <v>30</v>
      </c>
      <c r="E77" s="32"/>
      <c r="F77" s="43"/>
      <c r="G77" s="99"/>
      <c r="H77" s="100"/>
      <c r="I77" s="100"/>
      <c r="J77" s="100"/>
      <c r="K77" s="101"/>
      <c r="L77" s="101"/>
      <c r="M77" s="101"/>
      <c r="N77" s="101"/>
      <c r="O77" s="74">
        <v>100</v>
      </c>
      <c r="P77" s="101"/>
      <c r="Q77" s="99"/>
      <c r="R77" s="107"/>
      <c r="S77" s="110"/>
      <c r="X77" s="1"/>
    </row>
    <row r="78" spans="3:24" ht="67.5" customHeight="1" thickBot="1">
      <c r="C78" s="39"/>
      <c r="D78" s="14" t="s">
        <v>8</v>
      </c>
      <c r="E78" s="33"/>
      <c r="F78" s="44"/>
      <c r="G78" s="75"/>
      <c r="H78" s="77"/>
      <c r="I78" s="77"/>
      <c r="J78" s="77"/>
      <c r="K78" s="102"/>
      <c r="L78" s="102"/>
      <c r="M78" s="81"/>
      <c r="N78" s="81"/>
      <c r="O78" s="103">
        <f>SUM(O77-M75-N75-O75-P75-Q75)</f>
        <v>100</v>
      </c>
      <c r="P78" s="81"/>
      <c r="Q78" s="95"/>
      <c r="R78" s="108"/>
      <c r="S78" s="111"/>
      <c r="X78" s="1"/>
    </row>
    <row r="79" spans="3:24" ht="67.5" customHeight="1" thickBot="1">
      <c r="C79" s="37">
        <v>17</v>
      </c>
      <c r="D79" s="21" t="s">
        <v>35</v>
      </c>
      <c r="E79" s="27">
        <v>31.16</v>
      </c>
      <c r="F79" s="42">
        <v>15</v>
      </c>
      <c r="G79" s="98"/>
      <c r="H79" s="104"/>
      <c r="I79" s="104"/>
      <c r="J79" s="104"/>
      <c r="K79" s="98"/>
      <c r="L79" s="98"/>
      <c r="M79" s="58"/>
      <c r="N79" s="58"/>
      <c r="O79" s="58"/>
      <c r="P79" s="58"/>
      <c r="Q79" s="58"/>
      <c r="R79" s="13">
        <f>SUM(G79:Q79)</f>
        <v>0</v>
      </c>
      <c r="S79" s="35" t="s">
        <v>19</v>
      </c>
      <c r="X79" s="1"/>
    </row>
    <row r="80" spans="3:24" ht="67.5" customHeight="1">
      <c r="C80" s="38"/>
      <c r="D80" s="16" t="s">
        <v>36</v>
      </c>
      <c r="E80" s="29"/>
      <c r="F80" s="43"/>
      <c r="G80" s="62" t="str">
        <f>IF(G79=0, "", IF(MOD(G79, $F$79) = 0, G79/ $F$79, IF(INT(G79 / $F$79) = 0, MOD(G79, $F$79) &amp; " P", INT(G79 / $F$79) &amp; " + " &amp; MOD(G79, $F$79) &amp; " P")))</f>
        <v/>
      </c>
      <c r="H80" s="63" t="str">
        <f t="shared" ref="H80:Q80" si="19">IF(H79=0, "", IF(MOD(H79, $F$79) = 0, H79/ $F$79, IF(INT(H79 / $F$79) = 0, MOD(H79, $F$79) &amp; " P", INT(H79 / $F$79) &amp; " + " &amp; MOD(H79, $F$79) &amp; " P")))</f>
        <v/>
      </c>
      <c r="I80" s="63" t="str">
        <f t="shared" si="19"/>
        <v/>
      </c>
      <c r="J80" s="63" t="str">
        <f t="shared" si="19"/>
        <v/>
      </c>
      <c r="K80" s="62" t="str">
        <f t="shared" si="19"/>
        <v/>
      </c>
      <c r="L80" s="62" t="str">
        <f t="shared" si="19"/>
        <v/>
      </c>
      <c r="M80" s="62" t="str">
        <f t="shared" si="19"/>
        <v/>
      </c>
      <c r="N80" s="62" t="str">
        <f t="shared" si="19"/>
        <v/>
      </c>
      <c r="O80" s="62" t="str">
        <f t="shared" si="19"/>
        <v/>
      </c>
      <c r="P80" s="62" t="str">
        <f t="shared" si="19"/>
        <v/>
      </c>
      <c r="Q80" s="62" t="str">
        <f t="shared" si="19"/>
        <v/>
      </c>
      <c r="R80" s="106">
        <f>G79+H79+I79+J79+K79+L79+O81</f>
        <v>100</v>
      </c>
      <c r="S80" s="109">
        <f>O82</f>
        <v>100</v>
      </c>
      <c r="X80" s="1"/>
    </row>
    <row r="81" spans="3:24" ht="67.5" customHeight="1">
      <c r="C81" s="38"/>
      <c r="D81" s="11" t="s">
        <v>37</v>
      </c>
      <c r="E81" s="29"/>
      <c r="F81" s="43"/>
      <c r="G81" s="99"/>
      <c r="H81" s="100"/>
      <c r="I81" s="100"/>
      <c r="J81" s="100"/>
      <c r="K81" s="101"/>
      <c r="L81" s="101"/>
      <c r="M81" s="101"/>
      <c r="N81" s="101"/>
      <c r="O81" s="74">
        <v>100</v>
      </c>
      <c r="P81" s="101"/>
      <c r="Q81" s="99"/>
      <c r="R81" s="107"/>
      <c r="S81" s="110"/>
      <c r="X81" s="1"/>
    </row>
    <row r="82" spans="3:24" ht="67.5" customHeight="1" thickBot="1">
      <c r="C82" s="39"/>
      <c r="D82" s="14" t="s">
        <v>8</v>
      </c>
      <c r="E82" s="30"/>
      <c r="F82" s="44"/>
      <c r="G82" s="75"/>
      <c r="H82" s="77"/>
      <c r="I82" s="77"/>
      <c r="J82" s="77"/>
      <c r="K82" s="102"/>
      <c r="L82" s="102"/>
      <c r="M82" s="81"/>
      <c r="N82" s="81"/>
      <c r="O82" s="103">
        <f>SUM(O81-M79-N79-O79-P79-Q79)</f>
        <v>100</v>
      </c>
      <c r="P82" s="81"/>
      <c r="Q82" s="95"/>
      <c r="R82" s="108"/>
      <c r="S82" s="111"/>
      <c r="X82" s="1"/>
    </row>
    <row r="83" spans="3:24" ht="67.5" customHeight="1" thickBot="1">
      <c r="C83" s="37">
        <v>18</v>
      </c>
      <c r="D83" s="105" t="s">
        <v>80</v>
      </c>
      <c r="E83" s="27">
        <v>62.31</v>
      </c>
      <c r="F83" s="42">
        <v>8</v>
      </c>
      <c r="G83" s="98"/>
      <c r="H83" s="104"/>
      <c r="I83" s="104"/>
      <c r="J83" s="104"/>
      <c r="K83" s="98"/>
      <c r="L83" s="98"/>
      <c r="M83" s="58"/>
      <c r="N83" s="58"/>
      <c r="O83" s="58"/>
      <c r="P83" s="58"/>
      <c r="Q83" s="58"/>
      <c r="R83" s="13">
        <f>SUM(G83:Q83)</f>
        <v>0</v>
      </c>
      <c r="S83" s="35" t="s">
        <v>19</v>
      </c>
      <c r="X83" s="1"/>
    </row>
    <row r="84" spans="3:24" ht="67.5" customHeight="1">
      <c r="C84" s="38"/>
      <c r="D84" s="16" t="s">
        <v>81</v>
      </c>
      <c r="E84" s="29"/>
      <c r="F84" s="43"/>
      <c r="G84" s="62" t="str">
        <f>IF(G83=0, "", IF(MOD(G83, $F$83) = 0, G83/ $F$83, IF(INT(G83 / $F$83) = 0, MOD(G83, $F$83) &amp; " P", INT(G83 / $F$83) &amp; " + " &amp; MOD(G83, $F$83) &amp; " P")))</f>
        <v/>
      </c>
      <c r="H84" s="63" t="str">
        <f t="shared" ref="H84:Q84" si="20">IF(H83=0, "", IF(MOD(H83, $F$83) = 0, H83/ $F$83, IF(INT(H83 / $F$83) = 0, MOD(H83, $F$83) &amp; " P", INT(H83 / $F$83) &amp; " + " &amp; MOD(H83, $F$83) &amp; " P")))</f>
        <v/>
      </c>
      <c r="I84" s="63" t="str">
        <f t="shared" si="20"/>
        <v/>
      </c>
      <c r="J84" s="63" t="str">
        <f t="shared" si="20"/>
        <v/>
      </c>
      <c r="K84" s="62" t="str">
        <f t="shared" si="20"/>
        <v/>
      </c>
      <c r="L84" s="62" t="str">
        <f t="shared" si="20"/>
        <v/>
      </c>
      <c r="M84" s="62" t="str">
        <f t="shared" si="20"/>
        <v/>
      </c>
      <c r="N84" s="62" t="str">
        <f t="shared" si="20"/>
        <v/>
      </c>
      <c r="O84" s="62" t="str">
        <f t="shared" si="20"/>
        <v/>
      </c>
      <c r="P84" s="62" t="str">
        <f t="shared" si="20"/>
        <v/>
      </c>
      <c r="Q84" s="62" t="str">
        <f t="shared" si="20"/>
        <v/>
      </c>
      <c r="R84" s="106">
        <f>G83+H83+I83+J83+K83+L83+O85</f>
        <v>100</v>
      </c>
      <c r="S84" s="109">
        <f>O86</f>
        <v>100</v>
      </c>
      <c r="X84" s="1"/>
    </row>
    <row r="85" spans="3:24" ht="67.5" customHeight="1">
      <c r="C85" s="38"/>
      <c r="D85" s="11" t="s">
        <v>82</v>
      </c>
      <c r="E85" s="29"/>
      <c r="F85" s="43"/>
      <c r="G85" s="99"/>
      <c r="H85" s="100"/>
      <c r="I85" s="100"/>
      <c r="J85" s="100"/>
      <c r="K85" s="101"/>
      <c r="L85" s="101"/>
      <c r="M85" s="101"/>
      <c r="N85" s="101"/>
      <c r="O85" s="74">
        <v>100</v>
      </c>
      <c r="P85" s="101"/>
      <c r="Q85" s="99"/>
      <c r="R85" s="107"/>
      <c r="S85" s="110"/>
      <c r="X85" s="1"/>
    </row>
    <row r="86" spans="3:24" ht="67.5" customHeight="1" thickBot="1">
      <c r="C86" s="39"/>
      <c r="D86" s="14" t="s">
        <v>8</v>
      </c>
      <c r="E86" s="30"/>
      <c r="F86" s="44"/>
      <c r="G86" s="75"/>
      <c r="H86" s="77"/>
      <c r="I86" s="77"/>
      <c r="J86" s="77"/>
      <c r="K86" s="102"/>
      <c r="L86" s="102"/>
      <c r="M86" s="81"/>
      <c r="N86" s="81"/>
      <c r="O86" s="103">
        <f>SUM(O85-M83-N83-O83-P83-Q83)</f>
        <v>100</v>
      </c>
      <c r="P86" s="81"/>
      <c r="Q86" s="95"/>
      <c r="R86" s="108"/>
      <c r="S86" s="111"/>
      <c r="X86" s="1"/>
    </row>
    <row r="87" spans="3:24" ht="73.5" customHeight="1"/>
    <row r="88" spans="3:24" ht="73.5" customHeight="1"/>
    <row r="89" spans="3:24" ht="73.5" customHeight="1"/>
    <row r="90" spans="3:24" ht="73.5" customHeight="1"/>
    <row r="91" spans="3:24" ht="73.5" customHeight="1"/>
    <row r="92" spans="3:24" ht="73.5" customHeight="1"/>
    <row r="93" spans="3:24" ht="73.5" customHeight="1"/>
    <row r="94" spans="3:24" ht="73.5" customHeight="1"/>
    <row r="95" spans="3:24" ht="73.5" customHeight="1"/>
    <row r="96" spans="3:24" ht="73.5" customHeight="1"/>
    <row r="97" ht="73.5" customHeight="1"/>
    <row r="98" ht="73.5" customHeight="1"/>
    <row r="99" ht="73.5" customHeight="1"/>
    <row r="100" ht="73.5" customHeight="1"/>
    <row r="101" ht="73.5" customHeight="1"/>
    <row r="102" ht="73.5" customHeight="1"/>
    <row r="103" ht="73.5" customHeight="1"/>
    <row r="104" ht="73.5" customHeight="1"/>
    <row r="105" ht="73.5" customHeight="1"/>
    <row r="106" ht="73.5" customHeight="1"/>
    <row r="107" ht="73.5" customHeight="1"/>
    <row r="108" ht="73.5" customHeight="1"/>
  </sheetData>
  <mergeCells count="78">
    <mergeCell ref="R60:R62"/>
    <mergeCell ref="S60:S62"/>
    <mergeCell ref="S56:S58"/>
    <mergeCell ref="R56:R58"/>
    <mergeCell ref="R80:R82"/>
    <mergeCell ref="S80:S82"/>
    <mergeCell ref="R72:R74"/>
    <mergeCell ref="S72:S74"/>
    <mergeCell ref="R68:R70"/>
    <mergeCell ref="S68:S70"/>
    <mergeCell ref="S5:S10"/>
    <mergeCell ref="S20:S22"/>
    <mergeCell ref="S12:S14"/>
    <mergeCell ref="R16:R18"/>
    <mergeCell ref="R12:R14"/>
    <mergeCell ref="S16:S18"/>
    <mergeCell ref="R5:R9"/>
    <mergeCell ref="R20:R22"/>
    <mergeCell ref="C31:C34"/>
    <mergeCell ref="R52:R54"/>
    <mergeCell ref="S52:S54"/>
    <mergeCell ref="R48:R50"/>
    <mergeCell ref="S48:S50"/>
    <mergeCell ref="R44:R46"/>
    <mergeCell ref="S44:S46"/>
    <mergeCell ref="E35:E38"/>
    <mergeCell ref="F35:F38"/>
    <mergeCell ref="R36:R38"/>
    <mergeCell ref="S36:S38"/>
    <mergeCell ref="F31:F34"/>
    <mergeCell ref="E31:E34"/>
    <mergeCell ref="R40:R42"/>
    <mergeCell ref="S40:S42"/>
    <mergeCell ref="F39:F42"/>
    <mergeCell ref="M5:Q6"/>
    <mergeCell ref="G5:L6"/>
    <mergeCell ref="G7:G9"/>
    <mergeCell ref="H7:J7"/>
    <mergeCell ref="I8:I9"/>
    <mergeCell ref="J8:J9"/>
    <mergeCell ref="H8:H9"/>
    <mergeCell ref="K7:K9"/>
    <mergeCell ref="L7:L9"/>
    <mergeCell ref="O8:O9"/>
    <mergeCell ref="P8:P9"/>
    <mergeCell ref="Q8:Q9"/>
    <mergeCell ref="M7:Q7"/>
    <mergeCell ref="M8:M9"/>
    <mergeCell ref="N8:N9"/>
    <mergeCell ref="C5:C10"/>
    <mergeCell ref="F11:F14"/>
    <mergeCell ref="D5:D10"/>
    <mergeCell ref="C15:C18"/>
    <mergeCell ref="C19:C22"/>
    <mergeCell ref="C11:C14"/>
    <mergeCell ref="E5:E10"/>
    <mergeCell ref="F15:F18"/>
    <mergeCell ref="F5:F10"/>
    <mergeCell ref="E19:E22"/>
    <mergeCell ref="E11:E14"/>
    <mergeCell ref="E15:E18"/>
    <mergeCell ref="F19:F22"/>
    <mergeCell ref="R84:R86"/>
    <mergeCell ref="S84:S86"/>
    <mergeCell ref="R32:R34"/>
    <mergeCell ref="S32:S34"/>
    <mergeCell ref="E23:E26"/>
    <mergeCell ref="F23:F26"/>
    <mergeCell ref="R24:R26"/>
    <mergeCell ref="S24:S26"/>
    <mergeCell ref="E27:E30"/>
    <mergeCell ref="F27:F30"/>
    <mergeCell ref="R28:R30"/>
    <mergeCell ref="S28:S30"/>
    <mergeCell ref="R64:R66"/>
    <mergeCell ref="S64:S66"/>
    <mergeCell ref="R76:R78"/>
    <mergeCell ref="S76:S78"/>
  </mergeCells>
  <printOptions horizontalCentered="1"/>
  <pageMargins left="0" right="0" top="0.15748031496062992" bottom="0" header="0" footer="0"/>
  <pageSetup paperSize="9" scale="1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แพลน 7-11</vt:lpstr>
      <vt:lpstr>'แพลน 7-11'!Print_Area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2026-08-18T07:35:49Z</cp:lastPrinted>
  <dcterms:created xsi:type="dcterms:W3CDTF">2025-08-23T13:26:05Z</dcterms:created>
  <dcterms:modified xsi:type="dcterms:W3CDTF">2026-09-05T08:28:20Z</dcterms:modified>
</cp:coreProperties>
</file>