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8A2FDDA4-3F23-4537-9BC3-F4C718C02276}" xr6:coauthVersionLast="47" xr6:coauthVersionMax="47" xr10:uidLastSave="{00000000-0000-0000-0000-000000000000}"/>
  <bookViews>
    <workbookView xWindow="-108" yWindow="-108" windowWidth="23256" windowHeight="13896" tabRatio="547" xr2:uid="{00000000-000D-0000-FFFF-FFFF00000000}"/>
  </bookViews>
  <sheets>
    <sheet name="บางบัวทอง-ผลิต" sheetId="5" r:id="rId1"/>
    <sheet name="บางบัวทอง-รถ" sheetId="3" r:id="rId2"/>
    <sheet name="คันที่ 1" sheetId="6" r:id="rId3"/>
    <sheet name="คันที่ 2" sheetId="7" r:id="rId4"/>
  </sheets>
  <definedNames>
    <definedName name="_xlnm.Print_Area" localSheetId="2">'คันที่ 1'!$A$1:$K$42</definedName>
    <definedName name="_xlnm.Print_Area" localSheetId="3">'คันที่ 2'!$A$1:$K$41</definedName>
    <definedName name="_xlnm.Print_Area" localSheetId="0">'บางบัวทอง-ผลิต'!$B$3:$N$58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0" i="5" l="1"/>
  <c r="F50" i="5"/>
  <c r="E50" i="5"/>
  <c r="K50" i="5"/>
  <c r="J50" i="5"/>
  <c r="H50" i="5"/>
  <c r="I50" i="5"/>
  <c r="E13" i="5" l="1"/>
  <c r="E22" i="3"/>
  <c r="F22" i="3"/>
  <c r="G22" i="3"/>
  <c r="H22" i="3"/>
  <c r="I22" i="3"/>
  <c r="J22" i="3"/>
  <c r="D22" i="3"/>
  <c r="E23" i="3"/>
  <c r="F23" i="3"/>
  <c r="G23" i="3"/>
  <c r="H23" i="3"/>
  <c r="I23" i="3"/>
  <c r="J23" i="3"/>
  <c r="D23" i="3"/>
  <c r="AQ23" i="3"/>
  <c r="AR23" i="3"/>
  <c r="AS23" i="3"/>
  <c r="L38" i="5"/>
  <c r="P38" i="5"/>
  <c r="Q38" i="5"/>
  <c r="R38" i="5"/>
  <c r="S38" i="5"/>
  <c r="G37" i="5"/>
  <c r="F37" i="5"/>
  <c r="E39" i="5"/>
  <c r="E37" i="5"/>
  <c r="F39" i="5"/>
  <c r="G39" i="5"/>
  <c r="H39" i="5"/>
  <c r="I39" i="5"/>
  <c r="J39" i="5"/>
  <c r="K39" i="5"/>
  <c r="C23" i="3" l="1" a="1"/>
  <c r="C23" i="3" s="1"/>
  <c r="M38" i="5" s="1"/>
  <c r="P30" i="5"/>
  <c r="L14" i="5"/>
  <c r="E15" i="5"/>
  <c r="F15" i="5"/>
  <c r="G15" i="5"/>
  <c r="H15" i="5"/>
  <c r="I15" i="5"/>
  <c r="J15" i="5"/>
  <c r="K15" i="5"/>
  <c r="F13" i="5"/>
  <c r="G13" i="5"/>
  <c r="H13" i="5"/>
  <c r="I13" i="5"/>
  <c r="J13" i="5"/>
  <c r="K13" i="5"/>
  <c r="E17" i="5"/>
  <c r="E19" i="5"/>
  <c r="E21" i="5"/>
  <c r="E23" i="5"/>
  <c r="E25" i="5"/>
  <c r="E27" i="5"/>
  <c r="E29" i="5"/>
  <c r="E31" i="5"/>
  <c r="E33" i="5"/>
  <c r="E35" i="5"/>
  <c r="E41" i="5"/>
  <c r="E43" i="5"/>
  <c r="E45" i="5"/>
  <c r="E47" i="5"/>
  <c r="E49" i="5"/>
  <c r="S18" i="5" l="1"/>
  <c r="R18" i="5"/>
  <c r="Q18" i="5"/>
  <c r="S16" i="5"/>
  <c r="R16" i="5"/>
  <c r="Q16" i="5"/>
  <c r="S14" i="5"/>
  <c r="R14" i="5"/>
  <c r="Q14" i="5"/>
  <c r="E27" i="3"/>
  <c r="F27" i="3"/>
  <c r="G27" i="3"/>
  <c r="H27" i="3"/>
  <c r="I27" i="3"/>
  <c r="J27" i="3"/>
  <c r="D27" i="3"/>
  <c r="F49" i="5"/>
  <c r="G49" i="5"/>
  <c r="H49" i="5"/>
  <c r="I49" i="5"/>
  <c r="J49" i="5"/>
  <c r="K49" i="5"/>
  <c r="E28" i="3"/>
  <c r="F28" i="3"/>
  <c r="G28" i="3"/>
  <c r="H28" i="3"/>
  <c r="I28" i="3"/>
  <c r="J28" i="3"/>
  <c r="D28" i="3"/>
  <c r="S48" i="5"/>
  <c r="R48" i="5"/>
  <c r="Q48" i="5"/>
  <c r="P48" i="5"/>
  <c r="L48" i="5"/>
  <c r="C28" i="3" l="1" a="1"/>
  <c r="C28" i="3" s="1"/>
  <c r="M48" i="5" s="1"/>
  <c r="F21" i="5"/>
  <c r="G21" i="5"/>
  <c r="H21" i="5"/>
  <c r="I21" i="5"/>
  <c r="J21" i="5"/>
  <c r="K21" i="5"/>
  <c r="E13" i="3" l="1"/>
  <c r="F13" i="3"/>
  <c r="G13" i="3"/>
  <c r="H13" i="3"/>
  <c r="I13" i="3"/>
  <c r="J13" i="3"/>
  <c r="D13" i="3"/>
  <c r="E12" i="3"/>
  <c r="F12" i="3"/>
  <c r="G12" i="3"/>
  <c r="H12" i="3"/>
  <c r="I12" i="3"/>
  <c r="J12" i="3"/>
  <c r="D12" i="3"/>
  <c r="F19" i="5"/>
  <c r="G19" i="5"/>
  <c r="H19" i="5"/>
  <c r="I19" i="5"/>
  <c r="J19" i="5"/>
  <c r="K19" i="5"/>
  <c r="F17" i="5"/>
  <c r="G17" i="5"/>
  <c r="H17" i="5"/>
  <c r="I17" i="5"/>
  <c r="J17" i="5"/>
  <c r="K17" i="5"/>
  <c r="P18" i="5"/>
  <c r="L18" i="5"/>
  <c r="P16" i="5"/>
  <c r="L16" i="5"/>
  <c r="F47" i="5"/>
  <c r="G47" i="5"/>
  <c r="H47" i="5"/>
  <c r="I47" i="5"/>
  <c r="J47" i="5"/>
  <c r="K47" i="5"/>
  <c r="E15" i="3"/>
  <c r="V15" i="3" s="1"/>
  <c r="F15" i="3"/>
  <c r="AA15" i="3" s="1"/>
  <c r="G15" i="3"/>
  <c r="AD15" i="3" s="1"/>
  <c r="H15" i="3"/>
  <c r="AJ15" i="3" s="1"/>
  <c r="I15" i="3"/>
  <c r="AM15" i="3" s="1"/>
  <c r="J15" i="3"/>
  <c r="AP15" i="3" s="1"/>
  <c r="D15" i="3"/>
  <c r="R15" i="3" s="1"/>
  <c r="AS15" i="3"/>
  <c r="AR15" i="3"/>
  <c r="AQ15" i="3"/>
  <c r="AG15" i="3"/>
  <c r="AF15" i="3"/>
  <c r="AE15" i="3"/>
  <c r="U15" i="3"/>
  <c r="T15" i="3"/>
  <c r="S15" i="3"/>
  <c r="F23" i="5"/>
  <c r="G23" i="5"/>
  <c r="H23" i="5"/>
  <c r="I23" i="5"/>
  <c r="J23" i="5"/>
  <c r="K23" i="5"/>
  <c r="S22" i="5"/>
  <c r="R22" i="5"/>
  <c r="Q22" i="5"/>
  <c r="P22" i="5"/>
  <c r="L22" i="5"/>
  <c r="F35" i="5"/>
  <c r="G35" i="5"/>
  <c r="H35" i="5"/>
  <c r="I35" i="5"/>
  <c r="J35" i="5"/>
  <c r="K35" i="5"/>
  <c r="E21" i="3"/>
  <c r="V21" i="3" s="1"/>
  <c r="F21" i="3"/>
  <c r="AA21" i="3" s="1"/>
  <c r="G21" i="3"/>
  <c r="AD21" i="3" s="1"/>
  <c r="H21" i="3"/>
  <c r="AH21" i="3" s="1"/>
  <c r="I21" i="3"/>
  <c r="AM21" i="3" s="1"/>
  <c r="J21" i="3"/>
  <c r="AP21" i="3" s="1"/>
  <c r="D21" i="3"/>
  <c r="R21" i="3" s="1"/>
  <c r="AS21" i="3"/>
  <c r="AR21" i="3"/>
  <c r="AQ21" i="3"/>
  <c r="AG21" i="3"/>
  <c r="AF21" i="3"/>
  <c r="AE21" i="3"/>
  <c r="U21" i="3"/>
  <c r="T21" i="3"/>
  <c r="S21" i="3"/>
  <c r="S34" i="5"/>
  <c r="R34" i="5"/>
  <c r="Q34" i="5"/>
  <c r="P34" i="5"/>
  <c r="L34" i="5"/>
  <c r="S30" i="5"/>
  <c r="R30" i="5"/>
  <c r="Q30" i="5"/>
  <c r="P32" i="5"/>
  <c r="S46" i="5"/>
  <c r="L44" i="5"/>
  <c r="L46" i="5"/>
  <c r="L40" i="5"/>
  <c r="E25" i="3"/>
  <c r="F25" i="3"/>
  <c r="G25" i="3"/>
  <c r="H25" i="3"/>
  <c r="I25" i="3"/>
  <c r="J25" i="3"/>
  <c r="D25" i="3"/>
  <c r="F43" i="5"/>
  <c r="G43" i="5"/>
  <c r="H43" i="5"/>
  <c r="I43" i="5"/>
  <c r="J43" i="5"/>
  <c r="K43" i="5"/>
  <c r="E26" i="3"/>
  <c r="F26" i="3"/>
  <c r="G26" i="3"/>
  <c r="H26" i="3"/>
  <c r="I26" i="3"/>
  <c r="J26" i="3"/>
  <c r="D26" i="3"/>
  <c r="F45" i="5"/>
  <c r="G45" i="5"/>
  <c r="H45" i="5"/>
  <c r="I45" i="5"/>
  <c r="J45" i="5"/>
  <c r="K45" i="5"/>
  <c r="Q46" i="5"/>
  <c r="Q44" i="5"/>
  <c r="P44" i="5"/>
  <c r="L42" i="5"/>
  <c r="P42" i="5"/>
  <c r="Q42" i="5"/>
  <c r="R42" i="5"/>
  <c r="S42" i="5"/>
  <c r="R44" i="5"/>
  <c r="S44" i="5"/>
  <c r="P46" i="5"/>
  <c r="R46" i="5"/>
  <c r="C25" i="3" l="1" a="1"/>
  <c r="C25" i="3" s="1"/>
  <c r="C13" i="3"/>
  <c r="M18" i="5" s="1"/>
  <c r="C12" i="3"/>
  <c r="M16" i="5" s="1"/>
  <c r="C15" i="3"/>
  <c r="AH15" i="3"/>
  <c r="W15" i="3"/>
  <c r="AI15" i="3"/>
  <c r="X15" i="3"/>
  <c r="Y15" i="3"/>
  <c r="AK15" i="3"/>
  <c r="Z15" i="3"/>
  <c r="AL15" i="3"/>
  <c r="L15" i="3"/>
  <c r="P15" i="3"/>
  <c r="AB15" i="3"/>
  <c r="AN15" i="3"/>
  <c r="Q15" i="3"/>
  <c r="AC15" i="3"/>
  <c r="AO15" i="3"/>
  <c r="W21" i="3"/>
  <c r="AI21" i="3"/>
  <c r="X21" i="3"/>
  <c r="AJ21" i="3"/>
  <c r="Y21" i="3"/>
  <c r="AK21" i="3"/>
  <c r="Z21" i="3"/>
  <c r="AL21" i="3"/>
  <c r="L21" i="3"/>
  <c r="P21" i="3"/>
  <c r="AB21" i="3"/>
  <c r="AN21" i="3"/>
  <c r="Q21" i="3"/>
  <c r="AC21" i="3"/>
  <c r="AO21" i="3"/>
  <c r="C21" i="3" a="1"/>
  <c r="C21" i="3" s="1"/>
  <c r="M34" i="5" s="1"/>
  <c r="C27" i="3" a="1"/>
  <c r="C27" i="3" s="1"/>
  <c r="M46" i="5" s="1"/>
  <c r="V26" i="3"/>
  <c r="Z26" i="3"/>
  <c r="AB26" i="3"/>
  <c r="AJ26" i="3"/>
  <c r="AL26" i="3"/>
  <c r="AP26" i="3"/>
  <c r="AS26" i="3"/>
  <c r="AR26" i="3"/>
  <c r="AQ26" i="3"/>
  <c r="M22" i="5" l="1"/>
  <c r="AA26" i="3"/>
  <c r="W26" i="3"/>
  <c r="AO26" i="3"/>
  <c r="AD26" i="3"/>
  <c r="AK26" i="3"/>
  <c r="L26" i="3"/>
  <c r="P26" i="3"/>
  <c r="AH26" i="3"/>
  <c r="AI26" i="3"/>
  <c r="AM26" i="3"/>
  <c r="C26" i="3" a="1"/>
  <c r="C26" i="3" s="1"/>
  <c r="R26" i="3"/>
  <c r="Y26" i="3"/>
  <c r="AC26" i="3"/>
  <c r="AN26" i="3"/>
  <c r="Q26" i="3"/>
  <c r="X26" i="3"/>
  <c r="M44" i="5" l="1"/>
  <c r="K25" i="5"/>
  <c r="K27" i="5"/>
  <c r="X25" i="3" l="1"/>
  <c r="AA25" i="3"/>
  <c r="AD25" i="3"/>
  <c r="AI25" i="3"/>
  <c r="AM25" i="3"/>
  <c r="P25" i="3"/>
  <c r="AS25" i="3"/>
  <c r="AR25" i="3"/>
  <c r="AQ25" i="3"/>
  <c r="E19" i="3"/>
  <c r="F19" i="3"/>
  <c r="G19" i="3"/>
  <c r="H19" i="3"/>
  <c r="I19" i="3"/>
  <c r="J19" i="3"/>
  <c r="D19" i="3"/>
  <c r="AQ19" i="3"/>
  <c r="AR19" i="3"/>
  <c r="AS19" i="3"/>
  <c r="F31" i="5"/>
  <c r="G31" i="5"/>
  <c r="H31" i="5"/>
  <c r="I31" i="5"/>
  <c r="J31" i="5"/>
  <c r="K31" i="5"/>
  <c r="L30" i="5"/>
  <c r="J29" i="3"/>
  <c r="Q25" i="3" l="1"/>
  <c r="AC25" i="3"/>
  <c r="AP25" i="3"/>
  <c r="AH25" i="3"/>
  <c r="C19" i="3" a="1"/>
  <c r="C19" i="3" s="1"/>
  <c r="M30" i="5" s="1"/>
  <c r="L25" i="3"/>
  <c r="R25" i="3"/>
  <c r="AJ25" i="3"/>
  <c r="V25" i="3"/>
  <c r="AK25" i="3"/>
  <c r="W25" i="3"/>
  <c r="AL25" i="3"/>
  <c r="Y25" i="3"/>
  <c r="AN25" i="3"/>
  <c r="Z25" i="3"/>
  <c r="AO25" i="3"/>
  <c r="AB25" i="3"/>
  <c r="H37" i="5"/>
  <c r="I37" i="5"/>
  <c r="J37" i="5"/>
  <c r="K37" i="5"/>
  <c r="S28" i="5"/>
  <c r="S12" i="5"/>
  <c r="R12" i="5"/>
  <c r="Q12" i="5"/>
  <c r="M42" i="5" l="1"/>
  <c r="F41" i="5"/>
  <c r="G41" i="5"/>
  <c r="H41" i="5"/>
  <c r="I41" i="5"/>
  <c r="J41" i="5"/>
  <c r="K41" i="5"/>
  <c r="F25" i="5" l="1"/>
  <c r="G25" i="5"/>
  <c r="H25" i="5"/>
  <c r="I25" i="5"/>
  <c r="J25" i="5"/>
  <c r="L12" i="5" l="1"/>
  <c r="P26" i="5"/>
  <c r="E24" i="3" l="1"/>
  <c r="F24" i="3"/>
  <c r="G24" i="3"/>
  <c r="H24" i="3"/>
  <c r="I24" i="3"/>
  <c r="J24" i="3"/>
  <c r="D24" i="3"/>
  <c r="E20" i="3"/>
  <c r="F20" i="3"/>
  <c r="G20" i="3"/>
  <c r="H20" i="3"/>
  <c r="I20" i="3"/>
  <c r="J20" i="3"/>
  <c r="D20" i="3"/>
  <c r="E18" i="3"/>
  <c r="F18" i="3"/>
  <c r="G18" i="3"/>
  <c r="H18" i="3"/>
  <c r="I18" i="3"/>
  <c r="J18" i="3"/>
  <c r="D18" i="3"/>
  <c r="S40" i="5"/>
  <c r="R40" i="5"/>
  <c r="Q40" i="5"/>
  <c r="P40" i="5"/>
  <c r="A24" i="3"/>
  <c r="A22" i="3"/>
  <c r="A20" i="3"/>
  <c r="A18" i="3"/>
  <c r="A17" i="3"/>
  <c r="A16" i="3"/>
  <c r="A14" i="3"/>
  <c r="A11" i="3"/>
  <c r="A10" i="3"/>
  <c r="C24" i="3" l="1" a="1"/>
  <c r="C24" i="3" s="1"/>
  <c r="C20" i="3" a="1"/>
  <c r="C20" i="3" s="1"/>
  <c r="C22" i="3" a="1"/>
  <c r="C22" i="3" s="1"/>
  <c r="M36" i="5" s="1"/>
  <c r="AQ22" i="3"/>
  <c r="AR22" i="3"/>
  <c r="AS22" i="3"/>
  <c r="AN24" i="3" l="1"/>
  <c r="AO24" i="3"/>
  <c r="AP24" i="3"/>
  <c r="AN22" i="3"/>
  <c r="AP22" i="3"/>
  <c r="AO22" i="3"/>
  <c r="AM22" i="3"/>
  <c r="AL22" i="3"/>
  <c r="AK22" i="3"/>
  <c r="R22" i="3"/>
  <c r="Q22" i="3"/>
  <c r="P22" i="3"/>
  <c r="AH24" i="3"/>
  <c r="AI24" i="3"/>
  <c r="AJ24" i="3"/>
  <c r="AD24" i="3"/>
  <c r="AC24" i="3"/>
  <c r="AB24" i="3"/>
  <c r="AA24" i="3"/>
  <c r="Y24" i="3"/>
  <c r="Z24" i="3"/>
  <c r="V24" i="3"/>
  <c r="X24" i="3"/>
  <c r="W24" i="3"/>
  <c r="Z22" i="3"/>
  <c r="Y22" i="3"/>
  <c r="AA22" i="3"/>
  <c r="AB22" i="3"/>
  <c r="AC22" i="3"/>
  <c r="AD22" i="3"/>
  <c r="R24" i="3"/>
  <c r="Q24" i="3"/>
  <c r="P24" i="3"/>
  <c r="AK24" i="3"/>
  <c r="AL24" i="3"/>
  <c r="AM24" i="3"/>
  <c r="L24" i="3"/>
  <c r="AI22" i="3"/>
  <c r="AJ22" i="3"/>
  <c r="AH22" i="3"/>
  <c r="V22" i="3"/>
  <c r="X22" i="3"/>
  <c r="W22" i="3"/>
  <c r="L22" i="3"/>
  <c r="G33" i="5"/>
  <c r="P14" i="5"/>
  <c r="P20" i="5"/>
  <c r="P24" i="5"/>
  <c r="P28" i="5"/>
  <c r="P36" i="5"/>
  <c r="P12" i="5"/>
  <c r="S36" i="5" l="1"/>
  <c r="R36" i="5"/>
  <c r="Q36" i="5"/>
  <c r="L36" i="5"/>
  <c r="S32" i="5"/>
  <c r="R32" i="5"/>
  <c r="Q32" i="5"/>
  <c r="L32" i="5"/>
  <c r="F33" i="5"/>
  <c r="H33" i="5"/>
  <c r="I33" i="5"/>
  <c r="J33" i="5"/>
  <c r="K33" i="5"/>
  <c r="AS24" i="3" l="1"/>
  <c r="AR24" i="3"/>
  <c r="AQ24" i="3"/>
  <c r="M40" i="5" l="1"/>
  <c r="F29" i="5" l="1"/>
  <c r="G29" i="5"/>
  <c r="H29" i="5"/>
  <c r="I29" i="5"/>
  <c r="J29" i="5"/>
  <c r="K29" i="5"/>
  <c r="R28" i="5"/>
  <c r="Q28" i="5"/>
  <c r="L28" i="5"/>
  <c r="H27" i="5"/>
  <c r="M32" i="5" l="1"/>
  <c r="W20" i="3" l="1"/>
  <c r="AA20" i="3"/>
  <c r="AD20" i="3"/>
  <c r="AJ20" i="3"/>
  <c r="AM20" i="3"/>
  <c r="AP20" i="3"/>
  <c r="R20" i="3"/>
  <c r="AS20" i="3"/>
  <c r="AR20" i="3"/>
  <c r="AQ20" i="3"/>
  <c r="AG20" i="3"/>
  <c r="AF20" i="3"/>
  <c r="AE20" i="3"/>
  <c r="U20" i="3"/>
  <c r="T20" i="3"/>
  <c r="S20" i="3"/>
  <c r="AI20" i="3" l="1"/>
  <c r="Y20" i="3"/>
  <c r="AK20" i="3"/>
  <c r="Z20" i="3"/>
  <c r="AL20" i="3"/>
  <c r="L20" i="3"/>
  <c r="V20" i="3"/>
  <c r="AH20" i="3"/>
  <c r="X20" i="3"/>
  <c r="P20" i="3"/>
  <c r="AB20" i="3"/>
  <c r="AN20" i="3"/>
  <c r="Q20" i="3"/>
  <c r="AC20" i="3"/>
  <c r="AO20" i="3"/>
  <c r="J10" i="3" l="1"/>
  <c r="D10" i="3"/>
  <c r="H17" i="3" l="1"/>
  <c r="I17" i="3"/>
  <c r="J17" i="3"/>
  <c r="I16" i="3"/>
  <c r="J16" i="3"/>
  <c r="H16" i="3"/>
  <c r="J11" i="3"/>
  <c r="J14" i="3"/>
  <c r="I14" i="3"/>
  <c r="H14" i="3"/>
  <c r="I10" i="3"/>
  <c r="H10" i="3"/>
  <c r="E11" i="3"/>
  <c r="F11" i="3"/>
  <c r="G11" i="3"/>
  <c r="H11" i="3"/>
  <c r="I11" i="3"/>
  <c r="E10" i="3"/>
  <c r="AL16" i="3" l="1"/>
  <c r="AM16" i="3"/>
  <c r="AK16" i="3"/>
  <c r="AI16" i="3"/>
  <c r="AH16" i="3"/>
  <c r="AJ16" i="3"/>
  <c r="R26" i="5"/>
  <c r="R24" i="5"/>
  <c r="R20" i="5"/>
  <c r="F27" i="5"/>
  <c r="G27" i="5"/>
  <c r="I27" i="5"/>
  <c r="J27" i="5"/>
  <c r="Q26" i="5" l="1"/>
  <c r="Q24" i="5" l="1"/>
  <c r="I30" i="6" l="1"/>
  <c r="D31" i="6"/>
  <c r="E31" i="6"/>
  <c r="F31" i="6"/>
  <c r="G31" i="6"/>
  <c r="H31" i="6"/>
  <c r="E25" i="6" l="1"/>
  <c r="F25" i="6"/>
  <c r="G25" i="6"/>
  <c r="H25" i="6"/>
  <c r="D25" i="6"/>
  <c r="E24" i="7"/>
  <c r="I24" i="6"/>
  <c r="S24" i="5"/>
  <c r="L24" i="5"/>
  <c r="E16" i="3"/>
  <c r="F16" i="3"/>
  <c r="G16" i="3"/>
  <c r="D16" i="3"/>
  <c r="AB16" i="3" l="1"/>
  <c r="AC16" i="3"/>
  <c r="AD16" i="3"/>
  <c r="Y16" i="3"/>
  <c r="AA16" i="3"/>
  <c r="Z16" i="3"/>
  <c r="V16" i="3"/>
  <c r="W16" i="3"/>
  <c r="X16" i="3"/>
  <c r="R16" i="3"/>
  <c r="L16" i="3"/>
  <c r="P16" i="3"/>
  <c r="Q16" i="3"/>
  <c r="C16" i="3"/>
  <c r="AN16" i="3"/>
  <c r="AO16" i="3"/>
  <c r="AP16" i="3"/>
  <c r="AQ16" i="3"/>
  <c r="AR16" i="3"/>
  <c r="AS16" i="3"/>
  <c r="M24" i="5" l="1"/>
  <c r="E26" i="7"/>
  <c r="J34" i="6"/>
  <c r="D27" i="6"/>
  <c r="H27" i="6"/>
  <c r="G27" i="6"/>
  <c r="F27" i="6"/>
  <c r="E27" i="6"/>
  <c r="I26" i="6"/>
  <c r="S26" i="5" l="1"/>
  <c r="L26" i="5"/>
  <c r="E32" i="7" l="1"/>
  <c r="E30" i="7"/>
  <c r="E28" i="7"/>
  <c r="E22" i="7"/>
  <c r="E20" i="7"/>
  <c r="E18" i="7"/>
  <c r="E16" i="7"/>
  <c r="E14" i="7"/>
  <c r="F34" i="7"/>
  <c r="E12" i="7"/>
  <c r="H33" i="6"/>
  <c r="G33" i="6"/>
  <c r="F33" i="6"/>
  <c r="E33" i="6"/>
  <c r="D33" i="6"/>
  <c r="I32" i="6"/>
  <c r="H29" i="6"/>
  <c r="G29" i="6"/>
  <c r="F29" i="6"/>
  <c r="E29" i="6"/>
  <c r="D29" i="6"/>
  <c r="I28" i="6"/>
  <c r="H23" i="6"/>
  <c r="G23" i="6"/>
  <c r="F23" i="6"/>
  <c r="E23" i="6"/>
  <c r="D23" i="6"/>
  <c r="I22" i="6"/>
  <c r="H21" i="6"/>
  <c r="G21" i="6"/>
  <c r="F21" i="6"/>
  <c r="E21" i="6"/>
  <c r="D21" i="6"/>
  <c r="I20" i="6"/>
  <c r="H19" i="6"/>
  <c r="G19" i="6"/>
  <c r="F19" i="6"/>
  <c r="E19" i="6"/>
  <c r="D19" i="6"/>
  <c r="I18" i="6"/>
  <c r="H17" i="6"/>
  <c r="G17" i="6"/>
  <c r="F17" i="6"/>
  <c r="E17" i="6"/>
  <c r="D17" i="6"/>
  <c r="I16" i="6"/>
  <c r="H15" i="6"/>
  <c r="G15" i="6"/>
  <c r="F15" i="6"/>
  <c r="E15" i="6"/>
  <c r="D15" i="6"/>
  <c r="I14" i="6"/>
  <c r="H13" i="6"/>
  <c r="G13" i="6"/>
  <c r="F13" i="6"/>
  <c r="E13" i="6"/>
  <c r="D13" i="6"/>
  <c r="I12" i="6"/>
  <c r="L20" i="5" l="1"/>
  <c r="S20" i="5" l="1"/>
  <c r="Q20" i="5"/>
  <c r="S18" i="3" l="1"/>
  <c r="W18" i="3"/>
  <c r="Y18" i="3"/>
  <c r="AC18" i="3"/>
  <c r="AG18" i="3"/>
  <c r="AJ18" i="3"/>
  <c r="AM18" i="3"/>
  <c r="AP18" i="3"/>
  <c r="AS18" i="3"/>
  <c r="U17" i="3"/>
  <c r="E17" i="3"/>
  <c r="X17" i="3" s="1"/>
  <c r="F17" i="3"/>
  <c r="AA17" i="3" s="1"/>
  <c r="G17" i="3"/>
  <c r="AC17" i="3" s="1"/>
  <c r="AG17" i="3"/>
  <c r="AJ17" i="3"/>
  <c r="AK17" i="3"/>
  <c r="AO17" i="3"/>
  <c r="AQ17" i="3"/>
  <c r="U14" i="3"/>
  <c r="E14" i="3"/>
  <c r="V14" i="3" s="1"/>
  <c r="F14" i="3"/>
  <c r="Y14" i="3" s="1"/>
  <c r="G14" i="3"/>
  <c r="AD14" i="3" s="1"/>
  <c r="AG14" i="3"/>
  <c r="AI14" i="3"/>
  <c r="AM14" i="3"/>
  <c r="AP14" i="3"/>
  <c r="AS14" i="3"/>
  <c r="U11" i="3"/>
  <c r="W11" i="3"/>
  <c r="Y11" i="3"/>
  <c r="AB11" i="3"/>
  <c r="AG11" i="3"/>
  <c r="AJ11" i="3"/>
  <c r="AM11" i="3"/>
  <c r="AP11" i="3"/>
  <c r="AR11" i="3"/>
  <c r="D17" i="3"/>
  <c r="D14" i="3"/>
  <c r="D11" i="3"/>
  <c r="C11" i="3" s="1"/>
  <c r="T10" i="3"/>
  <c r="V10" i="3"/>
  <c r="F10" i="3"/>
  <c r="G10" i="3"/>
  <c r="AD10" i="3" s="1"/>
  <c r="AG10" i="3"/>
  <c r="AI10" i="3"/>
  <c r="AK10" i="3"/>
  <c r="AO10" i="3"/>
  <c r="AQ10" i="3"/>
  <c r="S11" i="3"/>
  <c r="M14" i="5" l="1"/>
  <c r="C18" i="3" a="1"/>
  <c r="C18" i="3" s="1"/>
  <c r="C10" i="3" a="1"/>
  <c r="C10" i="3" s="1"/>
  <c r="Z10" i="3"/>
  <c r="C14" i="3"/>
  <c r="C17" i="3"/>
  <c r="R14" i="3"/>
  <c r="Q17" i="3"/>
  <c r="P18" i="3"/>
  <c r="R10" i="3"/>
  <c r="AK11" i="3"/>
  <c r="AA11" i="3"/>
  <c r="AL17" i="3"/>
  <c r="AK14" i="3"/>
  <c r="S17" i="3"/>
  <c r="S14" i="3"/>
  <c r="Z18" i="3"/>
  <c r="AN18" i="3"/>
  <c r="AM17" i="3"/>
  <c r="AC11" i="3"/>
  <c r="AC14" i="3"/>
  <c r="T11" i="3"/>
  <c r="T17" i="3"/>
  <c r="AH18" i="3"/>
  <c r="AO11" i="3"/>
  <c r="V18" i="3"/>
  <c r="P17" i="3"/>
  <c r="AF17" i="3"/>
  <c r="AP10" i="3"/>
  <c r="T18" i="3"/>
  <c r="AD18" i="3"/>
  <c r="R17" i="3"/>
  <c r="AB17" i="3"/>
  <c r="AD17" i="3"/>
  <c r="AP17" i="3"/>
  <c r="T14" i="3"/>
  <c r="AD11" i="3"/>
  <c r="Q14" i="3"/>
  <c r="AB14" i="3"/>
  <c r="U18" i="3"/>
  <c r="AN11" i="3"/>
  <c r="AJ14" i="3"/>
  <c r="AH17" i="3"/>
  <c r="AK18" i="3"/>
  <c r="W10" i="3"/>
  <c r="X10" i="3"/>
  <c r="Q18" i="3"/>
  <c r="Z11" i="3"/>
  <c r="R18" i="3"/>
  <c r="W14" i="3"/>
  <c r="V17" i="3"/>
  <c r="AA18" i="3"/>
  <c r="AL18" i="3"/>
  <c r="X14" i="3"/>
  <c r="AH14" i="3"/>
  <c r="W17" i="3"/>
  <c r="AJ10" i="3"/>
  <c r="AL11" i="3"/>
  <c r="AL14" i="3"/>
  <c r="AB18" i="3"/>
  <c r="AO18" i="3"/>
  <c r="L18" i="3"/>
  <c r="AR10" i="3"/>
  <c r="AS10" i="3"/>
  <c r="U10" i="3"/>
  <c r="AI18" i="3"/>
  <c r="S10" i="3"/>
  <c r="AR17" i="3"/>
  <c r="X18" i="3"/>
  <c r="AQ11" i="3"/>
  <c r="AE17" i="3"/>
  <c r="AS17" i="3"/>
  <c r="P11" i="3"/>
  <c r="AS11" i="3"/>
  <c r="Q11" i="3"/>
  <c r="AE11" i="3"/>
  <c r="AN14" i="3"/>
  <c r="AE10" i="3"/>
  <c r="R11" i="3"/>
  <c r="AF11" i="3"/>
  <c r="AO14" i="3"/>
  <c r="L11" i="3"/>
  <c r="AF10" i="3"/>
  <c r="AE14" i="3"/>
  <c r="AQ14" i="3"/>
  <c r="AE18" i="3"/>
  <c r="AF14" i="3"/>
  <c r="AR14" i="3"/>
  <c r="AN17" i="3"/>
  <c r="AF18" i="3"/>
  <c r="AQ18" i="3"/>
  <c r="AR18" i="3"/>
  <c r="AI17" i="3"/>
  <c r="Y17" i="3"/>
  <c r="Z17" i="3"/>
  <c r="L17" i="3"/>
  <c r="AA14" i="3"/>
  <c r="L14" i="3"/>
  <c r="Z14" i="3"/>
  <c r="V11" i="3"/>
  <c r="AH11" i="3"/>
  <c r="AI11" i="3"/>
  <c r="X11" i="3"/>
  <c r="P14" i="3"/>
  <c r="AA10" i="3"/>
  <c r="AB10" i="3"/>
  <c r="AC10" i="3"/>
  <c r="AL10" i="3"/>
  <c r="AM10" i="3"/>
  <c r="AN10" i="3"/>
  <c r="AH10" i="3"/>
  <c r="Y10" i="3"/>
  <c r="P10" i="3"/>
  <c r="L10" i="3"/>
  <c r="Q10" i="3"/>
  <c r="C29" i="3" l="1"/>
  <c r="M28" i="5"/>
  <c r="M26" i="5"/>
  <c r="M20" i="5"/>
  <c r="M12" i="5"/>
  <c r="D30" i="3"/>
  <c r="I30" i="3"/>
  <c r="F31" i="3"/>
  <c r="G32" i="3"/>
  <c r="G30" i="3"/>
  <c r="D32" i="3"/>
  <c r="I32" i="3"/>
  <c r="F32" i="3"/>
  <c r="H32" i="3"/>
  <c r="D31" i="3"/>
  <c r="G31" i="3"/>
  <c r="E31" i="3"/>
  <c r="I31" i="3"/>
  <c r="H31" i="3"/>
  <c r="E30" i="3"/>
  <c r="F30" i="3"/>
  <c r="E32" i="3"/>
  <c r="H30" i="3"/>
  <c r="M50" i="5" l="1"/>
  <c r="L52" i="5" s="1"/>
  <c r="D29" i="3"/>
  <c r="E29" i="3"/>
  <c r="I29" i="3"/>
  <c r="G29" i="3"/>
  <c r="H29" i="3"/>
  <c r="F29" i="3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<sst xmlns="http://schemas.openxmlformats.org/spreadsheetml/2006/main" count="277" uniqueCount="158">
  <si>
    <t>PO1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</si>
  <si>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</si>
  <si>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</si>
  <si>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</si>
  <si>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</si>
  <si>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</si>
  <si>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</si>
  <si>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</si>
  <si>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</si>
  <si>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</si>
  <si>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</si>
  <si>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</si>
  <si>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</si>
  <si>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</si>
  <si>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</si>
  <si>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 xml:space="preserve">PO: </t>
  </si>
  <si>
    <t xml:space="preserve">Date: </t>
  </si>
  <si>
    <t>จำนวนรถที่ต้องใช้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</si>
  <si>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</si>
  <si>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</si>
  <si>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</si>
  <si>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</si>
  <si>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</si>
  <si>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</si>
  <si>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</si>
  <si>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</si>
  <si>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</si>
  <si>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</si>
  <si>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</si>
  <si>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</si>
  <si>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</si>
  <si>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</si>
  <si>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</si>
  <si>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</si>
  <si>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</si>
  <si>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</si>
  <si>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</si>
  <si>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</si>
  <si>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</si>
  <si>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</si>
  <si>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</si>
  <si>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</si>
  <si>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</si>
  <si>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</si>
  <si>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</si>
  <si>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</si>
  <si>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</si>
  <si>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</si>
  <si>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</si>
  <si>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</si>
  <si>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</si>
  <si>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</si>
  <si>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</si>
  <si>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</si>
  <si>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</si>
  <si>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</si>
  <si>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</si>
  <si>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</si>
  <si>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</si>
  <si>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</si>
  <si>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</si>
  <si>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</si>
  <si>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</si>
  <si>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</si>
  <si>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</si>
  <si>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</si>
  <si>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PO 2</t>
  </si>
  <si>
    <t>ตะกร้า</t>
  </si>
  <si>
    <t>แพค</t>
  </si>
  <si>
    <t>บางบัวทอง</t>
  </si>
  <si>
    <t>PO 1</t>
  </si>
  <si>
    <t>ชลุบรี</t>
  </si>
  <si>
    <t>22.00.-22.30 น.</t>
  </si>
  <si>
    <t>20.00-20.30 น</t>
  </si>
  <si>
    <t>นครสวรรค์</t>
  </si>
  <si>
    <t>19.00-19.30 น</t>
  </si>
  <si>
    <t>นครราชสีมา</t>
  </si>
  <si>
    <t>ยอดรวม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</si>
  <si>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</si>
  <si>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</si>
  <si>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</si>
  <si>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</si>
  <si>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</si>
  <si>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</si>
  <si>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เซเว่น   BBT</t>
  </si>
  <si>
    <t>ลงชื่อ</t>
  </si>
  <si>
    <t>รวมยอดตะกร้า</t>
  </si>
  <si>
    <t>ชลบุรี</t>
  </si>
  <si>
    <t>=</t>
  </si>
  <si>
    <t>01.00น</t>
  </si>
  <si>
    <t>แอปเปิ้ลเจ้าหญิง 200 กรัม  x 27 P</t>
  </si>
  <si>
    <t>ผู้ส่ง : 4 ล้อ 41 พี่เอ๋ บางบัวทอง รอบที่ 2</t>
  </si>
  <si>
    <t>กีวีเขียวแพ็ก 2 ผล 140g.x 45 P</t>
  </si>
  <si>
    <t>สตรอเบอร์รี่250 กรัม  กรัม x 27 AUS</t>
  </si>
  <si>
    <t>ผลิตวันที่  16/10/68  ส่งวันที่ PO 17/10/68</t>
  </si>
  <si>
    <t>*เบิกตะกร้ากลับด้วยนะคะ 296 ใบ**</t>
  </si>
  <si>
    <t>ผู้ส่ง :  6 ล้อ 77 พี่ปาม</t>
  </si>
  <si>
    <t>ผลิตวันที่  16/10/68  ส่งวันที่ PO.17/10/68</t>
  </si>
  <si>
    <t>65 + 29 P</t>
  </si>
  <si>
    <t>5 + 15 P</t>
  </si>
  <si>
    <t>2 + 23 P</t>
  </si>
  <si>
    <t>5 + 4 P</t>
  </si>
  <si>
    <t>7 + 7 P</t>
  </si>
  <si>
    <t>7 P</t>
  </si>
  <si>
    <t>9 + 11 P</t>
  </si>
  <si>
    <t>7 + 13 P</t>
  </si>
  <si>
    <t>2 + 17 P</t>
  </si>
  <si>
    <t>16 P</t>
  </si>
  <si>
    <t>*เบิกตะกร้ากลับด้วยนะคะ 125 ใบ**</t>
  </si>
  <si>
    <t xml:space="preserve"> </t>
  </si>
  <si>
    <t>ใบ**</t>
  </si>
  <si>
    <t>ของคืน</t>
  </si>
  <si>
    <t>สาลี่ทอง แพ็ก 2 ผล (400g.) x 15 P</t>
  </si>
  <si>
    <t>บางบัว</t>
  </si>
  <si>
    <t>องุ่นดำไร้เมล็ด 300 กรัม x20P</t>
  </si>
  <si>
    <t>องุ่นดำไร้เมล็ด 150 กรัม x36P</t>
  </si>
  <si>
    <t>NO.</t>
  </si>
  <si>
    <t xml:space="preserve"> บางบัวทอง (BB)</t>
  </si>
  <si>
    <t>20.00 น.</t>
  </si>
  <si>
    <t>19.00  น.</t>
  </si>
  <si>
    <t>20.30 น.</t>
  </si>
  <si>
    <t>01.00 น.</t>
  </si>
  <si>
    <t xml:space="preserve">Red Seed 200 g.  ( 8859388000100 )                      </t>
  </si>
  <si>
    <t xml:space="preserve">Red Seedless 150 g. ( 8859388007000 )             </t>
  </si>
  <si>
    <t xml:space="preserve">Blue  125 g. ( 2003009720007 )                           </t>
  </si>
  <si>
    <t xml:space="preserve">Washington   ( 8859388000759 )                    </t>
  </si>
  <si>
    <t xml:space="preserve">Berry Duo 160g.   ( 8859388010239 )                    </t>
  </si>
  <si>
    <t xml:space="preserve">Red Seedless 300 g.( 8859388001084 )        </t>
  </si>
  <si>
    <t xml:space="preserve">Pear 400g ( 8859388010284 )    </t>
  </si>
  <si>
    <t>บาร์โค๊ดระบุ วันที่ PO</t>
  </si>
  <si>
    <t xml:space="preserve">บาร์โค๊ดระบุ วันที่ผลิต </t>
  </si>
  <si>
    <t>*เบิกตะกร้ากลับด้วยนะคะ =</t>
  </si>
  <si>
    <t xml:space="preserve">BlackGrapesSeedless300 g.(8859388010284)      </t>
  </si>
  <si>
    <t xml:space="preserve">BlackGrapesSeedless150g.(8859388000025)    </t>
  </si>
  <si>
    <t xml:space="preserve">Straw 250 g.  ( 2003009710008 )             </t>
  </si>
  <si>
    <t>องุ่นเคียวโฮ 300 กรัม x 15 P</t>
  </si>
  <si>
    <t>องุ่นไซน์มัสแคท 300 กรัม x 15 P</t>
  </si>
  <si>
    <t xml:space="preserve">Shine muscat 300 g ( 885938000018 )    </t>
  </si>
  <si>
    <t>ลายเซ็น คนขึ้นของ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</si>
  <si>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</si>
  <si>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</si>
  <si>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</si>
  <si>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>พุทราจีน 200 กรัม x 27 P</t>
  </si>
  <si>
    <t xml:space="preserve">Jujube 200g.(8859388000087 )             </t>
  </si>
  <si>
    <t xml:space="preserve">Sweet Sapphire 300gx 15 P( 8859388000223 )       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</si>
  <si>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</si>
  <si>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</si>
  <si>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</si>
  <si>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</si>
  <si>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</si>
  <si>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Pear 800g ( '8859388010277 )    </t>
  </si>
  <si>
    <t>สาลี่ทอง แพ็ก 4 ผล (800g.) x 8P</t>
  </si>
  <si>
    <t>สาลี่ทอง แพ็ก 2 ผล (400g.) x 8 P</t>
  </si>
  <si>
    <t>แอปเปิ้ลเจ้าหญิง 200 g. x 27 p</t>
  </si>
  <si>
    <t xml:space="preserve">Kyoho Grape300g(88859388000063)  </t>
  </si>
  <si>
    <t>Princess Apple'8859388001060</t>
  </si>
  <si>
    <t>วันที่ผลิต 07/09/69  ส่งวันที่ PO 08/09/69</t>
  </si>
  <si>
    <t>ผู้ส่ง : 7-11 บางบัวทอง10 ล้อ 83-8522 พี่บาส+หม่องโต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</si>
</sst>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name val="Arial Narrow"/>
      <family val="2"/>
    </font>
    <font>
      <b/>
      <sz val="12"/>
      <color theme="3"/>
      <name val="Arial Narrow"/>
      <family val="2"/>
    </font>
    <font>
      <b/>
      <sz val="11"/>
      <color theme="1"/>
      <name val="Arial Narrow"/>
      <family val="2"/>
    </font>
    <font>
      <b/>
      <sz val="20"/>
      <color rgb="FFFF0000"/>
      <name val="Arial Narrow"/>
      <family val="2"/>
    </font>
    <font>
      <b/>
      <sz val="36"/>
      <color theme="3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0"/>
      <color rgb="FF00B050"/>
      <name val="Arial Narrow"/>
      <family val="2"/>
    </font>
    <font>
      <b/>
      <sz val="13"/>
      <color theme="1"/>
      <name val="Arial Narrow"/>
      <family val="2"/>
    </font>
    <font>
      <b/>
      <sz val="15"/>
      <color theme="9" tint="-0.499984740745262"/>
      <name val="Arial Narrow"/>
      <family val="2"/>
    </font>
    <font>
      <b/>
      <sz val="15"/>
      <color rgb="FF0070C0"/>
      <name val="Arial Narrow"/>
      <family val="2"/>
    </font>
    <font>
      <b/>
      <sz val="14"/>
      <color rgb="FF000000"/>
      <name val="Arial Narrow"/>
      <family val="2"/>
    </font>
    <font>
      <b/>
      <sz val="30"/>
      <color theme="1"/>
      <name val="Angsana New"/>
      <family val="1"/>
    </font>
    <font>
      <b/>
      <sz val="28"/>
      <color theme="1"/>
      <name val="Angsana New"/>
      <family val="1"/>
    </font>
    <font>
      <b/>
      <sz val="45"/>
      <color theme="1"/>
      <name val="Angsana New"/>
      <family val="1"/>
    </font>
    <font>
      <b/>
      <sz val="20"/>
      <color theme="1"/>
      <name val="Arial Narrow"/>
      <family val="2"/>
      <charset val="222"/>
    </font>
    <font>
      <b/>
      <sz val="17"/>
      <color theme="1"/>
      <name val="Arial Narrow"/>
      <family val="2"/>
    </font>
    <font>
      <b/>
      <sz val="16"/>
      <color theme="4" tint="-0.499984740745262"/>
      <name val="Arial Narrow"/>
      <family val="2"/>
    </font>
    <font>
      <b/>
      <sz val="16"/>
      <color rgb="FF7030A0"/>
      <name val="Arial Narrow"/>
      <family val="2"/>
    </font>
    <font>
      <b/>
      <sz val="16"/>
      <color rgb="FF000000"/>
      <name val="Arial Narrow"/>
      <family val="2"/>
    </font>
    <font>
      <b/>
      <u/>
      <sz val="26"/>
      <color theme="1"/>
      <name val="Angsana New"/>
      <family val="1"/>
      <charset val="222"/>
    </font>
    <font>
      <b/>
      <sz val="15"/>
      <color theme="1"/>
      <name val="Arial Narrow"/>
      <family val="2"/>
    </font>
    <font>
      <b/>
      <sz val="17"/>
      <name val="Arial Narrow"/>
      <family val="2"/>
    </font>
    <font>
      <b/>
      <sz val="13"/>
      <color theme="4" tint="-0.499984740745262"/>
      <name val="Arial Narrow"/>
      <family val="2"/>
    </font>
    <font>
      <b/>
      <sz val="13"/>
      <name val="Arial Narrow"/>
      <family val="2"/>
    </font>
    <font>
      <sz val="40"/>
      <color theme="1"/>
      <name val="Arial"/>
      <family val="2"/>
    </font>
    <font>
      <b/>
      <sz val="40"/>
      <color theme="1"/>
      <name val="Arial"/>
      <family val="2"/>
    </font>
    <font>
      <b/>
      <sz val="40"/>
      <color theme="3"/>
      <name val="Arial"/>
      <family val="2"/>
    </font>
    <font>
      <b/>
      <sz val="40"/>
      <name val="Arial"/>
      <family val="2"/>
    </font>
    <font>
      <b/>
      <sz val="43"/>
      <color theme="1"/>
      <name val="Arial"/>
      <family val="2"/>
    </font>
    <font>
      <sz val="43"/>
      <color theme="1"/>
      <name val="Arial"/>
      <family val="2"/>
    </font>
    <font>
      <sz val="43"/>
      <color theme="1"/>
      <name val="Aptos Narrow"/>
      <family val="2"/>
      <scheme val="minor"/>
    </font>
    <font>
      <b/>
      <sz val="43"/>
      <color rgb="FFFF0000"/>
      <name val="Arial"/>
      <family val="2"/>
    </font>
    <font>
      <b/>
      <sz val="60"/>
      <color theme="1"/>
      <name val="Arial"/>
      <family val="2"/>
    </font>
    <font>
      <b/>
      <sz val="80"/>
      <color theme="3"/>
      <name val="Arial"/>
      <family val="2"/>
    </font>
    <font>
      <b/>
      <sz val="35"/>
      <color theme="1"/>
      <name val="Arial"/>
      <family val="2"/>
    </font>
    <font>
      <b/>
      <sz val="50"/>
      <name val="Arial"/>
      <family val="2"/>
    </font>
    <font>
      <b/>
      <sz val="43"/>
      <color rgb="FF002060"/>
      <name val="Arial"/>
      <family val="2"/>
    </font>
    <font>
      <b/>
      <sz val="60"/>
      <color rgb="FF0070C0"/>
      <name val="Arial"/>
      <family val="2"/>
    </font>
    <font>
      <b/>
      <sz val="32"/>
      <name val="Arial"/>
      <family val="2"/>
    </font>
    <font>
      <b/>
      <sz val="30"/>
      <color theme="1"/>
      <name val="Arial"/>
      <family val="2"/>
    </font>
    <font>
      <b/>
      <sz val="30"/>
      <color theme="9" tint="-0.499984740745262"/>
      <name val="Arial"/>
      <family val="2"/>
    </font>
    <font>
      <b/>
      <sz val="45"/>
      <color rgb="FF00B050"/>
      <name val="Arial"/>
      <family val="2"/>
    </font>
    <font>
      <b/>
      <u/>
      <sz val="55"/>
      <color theme="1"/>
      <name val="Arial"/>
      <family val="2"/>
    </font>
    <font>
      <b/>
      <sz val="55"/>
      <color theme="1"/>
      <name val="Arial"/>
      <family val="2"/>
    </font>
    <font>
      <b/>
      <sz val="55"/>
      <color rgb="FFFF0000"/>
      <name val="Arial"/>
      <family val="2"/>
    </font>
    <font>
      <sz val="16"/>
      <name val="Angsana New"/>
      <family val="1"/>
    </font>
    <font>
      <b/>
      <u/>
      <sz val="35"/>
      <name val="Arial"/>
      <family val="2"/>
    </font>
    <font>
      <b/>
      <sz val="38"/>
      <color theme="1"/>
      <name val="Arial"/>
      <family val="2"/>
    </font>
    <font>
      <b/>
      <sz val="38"/>
      <name val="Arial"/>
      <family val="2"/>
    </font>
    <font>
      <b/>
      <sz val="38"/>
      <color rgb="FF000000"/>
      <name val="Arial"/>
      <family val="2"/>
    </font>
    <font>
      <b/>
      <sz val="60"/>
      <color theme="1"/>
      <name val="Arial Narrow"/>
      <family val="2"/>
    </font>
    <font>
      <b/>
      <sz val="30"/>
      <color rgb="FF00B050"/>
      <name val="Arial"/>
      <family val="2"/>
    </font>
    <font>
      <b/>
      <sz val="3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6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5" fillId="2" borderId="21" xfId="1" applyFont="1" applyFill="1" applyBorder="1" applyAlignment="1">
      <alignment vertical="center"/>
    </xf>
    <xf numFmtId="0" fontId="25" fillId="2" borderId="0" xfId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5" fillId="0" borderId="16" xfId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2" borderId="26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9" fillId="3" borderId="23" xfId="1" applyFont="1" applyFill="1" applyBorder="1" applyAlignment="1">
      <alignment horizontal="center" vertical="center"/>
    </xf>
    <xf numFmtId="0" fontId="35" fillId="2" borderId="26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/>
    </xf>
    <xf numFmtId="0" fontId="36" fillId="6" borderId="30" xfId="1" applyFont="1" applyFill="1" applyBorder="1" applyAlignment="1">
      <alignment horizontal="center" vertical="center" wrapText="1"/>
    </xf>
    <xf numFmtId="0" fontId="34" fillId="4" borderId="23" xfId="1" applyFont="1" applyFill="1" applyBorder="1" applyAlignment="1">
      <alignment horizontal="center" vertical="center" wrapText="1"/>
    </xf>
    <xf numFmtId="0" fontId="35" fillId="4" borderId="23" xfId="1" applyFont="1" applyFill="1" applyBorder="1" applyAlignment="1">
      <alignment horizontal="center" vertical="center"/>
    </xf>
    <xf numFmtId="0" fontId="35" fillId="4" borderId="13" xfId="1" applyFont="1" applyFill="1" applyBorder="1" applyAlignment="1">
      <alignment horizontal="center" vertical="center" wrapText="1"/>
    </xf>
    <xf numFmtId="0" fontId="36" fillId="7" borderId="29" xfId="1" applyFont="1" applyFill="1" applyBorder="1" applyAlignment="1">
      <alignment horizontal="center" vertical="center" wrapText="1"/>
    </xf>
    <xf numFmtId="0" fontId="36" fillId="7" borderId="30" xfId="1" applyFont="1" applyFill="1" applyBorder="1" applyAlignment="1">
      <alignment horizontal="center" vertical="center" wrapText="1"/>
    </xf>
    <xf numFmtId="0" fontId="43" fillId="5" borderId="27" xfId="1" applyFont="1" applyFill="1" applyBorder="1" applyAlignment="1">
      <alignment horizontal="center" vertical="center"/>
    </xf>
    <xf numFmtId="0" fontId="26" fillId="2" borderId="28" xfId="1" quotePrefix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21" fillId="3" borderId="17" xfId="1" applyNumberFormat="1" applyFont="1" applyFill="1" applyBorder="1" applyAlignment="1">
      <alignment horizontal="center" vertical="center" wrapText="1"/>
    </xf>
    <xf numFmtId="3" fontId="24" fillId="3" borderId="23" xfId="1" applyNumberFormat="1" applyFont="1" applyFill="1" applyBorder="1" applyAlignment="1">
      <alignment horizontal="center" vertical="center"/>
    </xf>
    <xf numFmtId="3" fontId="20" fillId="0" borderId="23" xfId="0" applyNumberFormat="1" applyFont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41" fillId="3" borderId="2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3" fontId="21" fillId="3" borderId="12" xfId="1" applyNumberFormat="1" applyFont="1" applyFill="1" applyBorder="1" applyAlignment="1">
      <alignment horizontal="center" vertical="center" wrapText="1"/>
    </xf>
    <xf numFmtId="0" fontId="48" fillId="0" borderId="28" xfId="1" quotePrefix="1" applyFont="1" applyBorder="1" applyAlignment="1">
      <alignment horizontal="center" vertical="center"/>
    </xf>
    <xf numFmtId="0" fontId="49" fillId="5" borderId="31" xfId="1" applyFont="1" applyFill="1" applyBorder="1" applyAlignment="1">
      <alignment horizontal="center" vertical="center"/>
    </xf>
    <xf numFmtId="0" fontId="49" fillId="5" borderId="32" xfId="1" applyFont="1" applyFill="1" applyBorder="1" applyAlignment="1">
      <alignment horizontal="center" vertical="center"/>
    </xf>
    <xf numFmtId="0" fontId="49" fillId="5" borderId="34" xfId="1" applyFont="1" applyFill="1" applyBorder="1" applyAlignment="1">
      <alignment horizontal="center" vertical="center"/>
    </xf>
    <xf numFmtId="0" fontId="50" fillId="0" borderId="28" xfId="1" quotePrefix="1" applyFont="1" applyBorder="1" applyAlignment="1">
      <alignment horizontal="center" vertical="center"/>
    </xf>
    <xf numFmtId="0" fontId="50" fillId="2" borderId="28" xfId="1" quotePrefix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7" fillId="0" borderId="2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4" fillId="0" borderId="0" xfId="1" applyFont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3" fontId="52" fillId="0" borderId="23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7" fillId="0" borderId="0" xfId="0" applyFont="1"/>
    <xf numFmtId="0" fontId="55" fillId="3" borderId="6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3" fontId="55" fillId="3" borderId="6" xfId="0" applyNumberFormat="1" applyFont="1" applyFill="1" applyBorder="1" applyAlignment="1">
      <alignment horizontal="center" vertical="center"/>
    </xf>
    <xf numFmtId="3" fontId="55" fillId="3" borderId="1" xfId="0" applyNumberFormat="1" applyFont="1" applyFill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5" fillId="3" borderId="6" xfId="1" applyFont="1" applyFill="1" applyBorder="1" applyAlignment="1">
      <alignment horizontal="center" vertical="center"/>
    </xf>
    <xf numFmtId="0" fontId="55" fillId="3" borderId="1" xfId="1" applyFont="1" applyFill="1" applyBorder="1" applyAlignment="1">
      <alignment horizontal="center" vertical="center"/>
    </xf>
    <xf numFmtId="0" fontId="58" fillId="4" borderId="1" xfId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5" fillId="0" borderId="23" xfId="1" applyFont="1" applyBorder="1" applyAlignment="1">
      <alignment horizontal="center" vertical="center" wrapText="1"/>
    </xf>
    <xf numFmtId="0" fontId="52" fillId="0" borderId="21" xfId="0" applyFont="1" applyBorder="1" applyAlignment="1">
      <alignment vertical="center"/>
    </xf>
    <xf numFmtId="1" fontId="59" fillId="0" borderId="0" xfId="0" applyNumberFormat="1" applyFont="1" applyAlignment="1">
      <alignment horizontal="center" vertical="center"/>
    </xf>
    <xf numFmtId="3" fontId="54" fillId="4" borderId="23" xfId="1" applyNumberFormat="1" applyFont="1" applyFill="1" applyBorder="1" applyAlignment="1">
      <alignment horizontal="center" vertical="center" wrapText="1"/>
    </xf>
    <xf numFmtId="0" fontId="54" fillId="4" borderId="24" xfId="1" applyFont="1" applyFill="1" applyBorder="1" applyAlignment="1">
      <alignment horizontal="center" vertical="center" wrapText="1"/>
    </xf>
    <xf numFmtId="0" fontId="54" fillId="6" borderId="35" xfId="1" applyFont="1" applyFill="1" applyBorder="1" applyAlignment="1">
      <alignment horizontal="center" vertical="center" wrapText="1"/>
    </xf>
    <xf numFmtId="0" fontId="66" fillId="3" borderId="6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4" borderId="1" xfId="1" applyFont="1" applyFill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39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3" fontId="70" fillId="3" borderId="13" xfId="1" applyNumberFormat="1" applyFont="1" applyFill="1" applyBorder="1" applyAlignment="1">
      <alignment horizontal="center" vertical="center"/>
    </xf>
    <xf numFmtId="1" fontId="71" fillId="3" borderId="13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38" xfId="0" applyFont="1" applyBorder="1" applyAlignment="1">
      <alignment vertical="center"/>
    </xf>
    <xf numFmtId="0" fontId="61" fillId="0" borderId="37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72" fillId="0" borderId="0" xfId="1" applyFont="1" applyAlignment="1">
      <alignment horizontal="left" vertical="center"/>
    </xf>
    <xf numFmtId="3" fontId="8" fillId="0" borderId="7" xfId="0" applyNumberFormat="1" applyFont="1" applyBorder="1" applyAlignment="1">
      <alignment horizontal="center" vertical="center"/>
    </xf>
    <xf numFmtId="3" fontId="55" fillId="4" borderId="1" xfId="0" applyNumberFormat="1" applyFont="1" applyFill="1" applyBorder="1" applyAlignment="1">
      <alignment horizontal="center" vertical="center"/>
    </xf>
    <xf numFmtId="0" fontId="74" fillId="2" borderId="12" xfId="1" applyFont="1" applyFill="1" applyBorder="1" applyAlignment="1">
      <alignment vertical="center"/>
    </xf>
    <xf numFmtId="0" fontId="74" fillId="0" borderId="12" xfId="1" applyFont="1" applyBorder="1" applyAlignment="1">
      <alignment vertical="center"/>
    </xf>
    <xf numFmtId="0" fontId="75" fillId="0" borderId="12" xfId="1" applyFont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4" fillId="0" borderId="27" xfId="1" applyFont="1" applyBorder="1" applyAlignment="1">
      <alignment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78" fillId="0" borderId="13" xfId="1" applyFont="1" applyBorder="1" applyAlignment="1">
      <alignment horizontal="left" vertical="center"/>
    </xf>
    <xf numFmtId="0" fontId="78" fillId="2" borderId="13" xfId="1" applyFont="1" applyFill="1" applyBorder="1" applyAlignment="1">
      <alignment horizontal="left" vertical="center"/>
    </xf>
    <xf numFmtId="0" fontId="54" fillId="3" borderId="35" xfId="1" applyFont="1" applyFill="1" applyBorder="1" applyAlignment="1">
      <alignment horizontal="center" vertical="center" wrapText="1"/>
    </xf>
    <xf numFmtId="0" fontId="54" fillId="6" borderId="20" xfId="1" applyFont="1" applyFill="1" applyBorder="1" applyAlignment="1">
      <alignment horizontal="center" vertical="center" wrapText="1"/>
    </xf>
    <xf numFmtId="0" fontId="54" fillId="3" borderId="20" xfId="1" applyFont="1" applyFill="1" applyBorder="1" applyAlignment="1">
      <alignment horizontal="center" vertical="center" wrapText="1"/>
    </xf>
    <xf numFmtId="0" fontId="79" fillId="0" borderId="27" xfId="1" applyFont="1" applyBorder="1" applyAlignment="1">
      <alignment horizontal="center" vertical="center"/>
    </xf>
    <xf numFmtId="0" fontId="75" fillId="0" borderId="28" xfId="6" quotePrefix="1" applyFont="1" applyBorder="1" applyAlignment="1">
      <alignment horizontal="center" vertical="center"/>
    </xf>
    <xf numFmtId="0" fontId="75" fillId="0" borderId="28" xfId="1" quotePrefix="1" applyFont="1" applyBorder="1" applyAlignment="1">
      <alignment horizontal="center" vertical="center"/>
    </xf>
    <xf numFmtId="3" fontId="79" fillId="0" borderId="27" xfId="1" applyNumberFormat="1" applyFont="1" applyBorder="1" applyAlignment="1">
      <alignment horizontal="center" vertical="center"/>
    </xf>
    <xf numFmtId="0" fontId="79" fillId="0" borderId="36" xfId="1" applyFont="1" applyBorder="1" applyAlignment="1">
      <alignment horizontal="center" vertical="center"/>
    </xf>
    <xf numFmtId="0" fontId="79" fillId="0" borderId="27" xfId="1" quotePrefix="1" applyFont="1" applyBorder="1" applyAlignment="1">
      <alignment horizontal="center" vertical="center"/>
    </xf>
    <xf numFmtId="0" fontId="75" fillId="0" borderId="13" xfId="1" quotePrefix="1" applyFont="1" applyBorder="1" applyAlignment="1">
      <alignment horizontal="center" vertical="center"/>
    </xf>
    <xf numFmtId="3" fontId="79" fillId="0" borderId="27" xfId="1" quotePrefix="1" applyNumberFormat="1" applyFont="1" applyBorder="1" applyAlignment="1">
      <alignment horizontal="center" vertical="center"/>
    </xf>
    <xf numFmtId="3" fontId="75" fillId="0" borderId="14" xfId="1" quotePrefix="1" applyNumberFormat="1" applyFont="1" applyBorder="1" applyAlignment="1">
      <alignment horizontal="center" vertical="center"/>
    </xf>
    <xf numFmtId="3" fontId="75" fillId="0" borderId="13" xfId="1" quotePrefix="1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/>
    </xf>
    <xf numFmtId="3" fontId="51" fillId="0" borderId="46" xfId="0" applyNumberFormat="1" applyFont="1" applyBorder="1" applyAlignment="1">
      <alignment horizontal="center" vertical="center"/>
    </xf>
    <xf numFmtId="0" fontId="78" fillId="0" borderId="13" xfId="1" quotePrefix="1" applyFont="1" applyBorder="1" applyAlignment="1">
      <alignment horizontal="left" vertical="center"/>
    </xf>
    <xf numFmtId="0" fontId="76" fillId="0" borderId="27" xfId="1" applyFont="1" applyBorder="1" applyAlignment="1">
      <alignment vertical="center"/>
    </xf>
    <xf numFmtId="0" fontId="69" fillId="3" borderId="24" xfId="0" applyFont="1" applyFill="1" applyBorder="1" applyAlignment="1">
      <alignment horizontal="center" vertical="top"/>
    </xf>
    <xf numFmtId="0" fontId="69" fillId="3" borderId="26" xfId="0" applyFont="1" applyFill="1" applyBorder="1" applyAlignment="1">
      <alignment horizontal="center" vertical="top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66" fillId="0" borderId="44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3" fontId="63" fillId="0" borderId="17" xfId="1" applyNumberFormat="1" applyFont="1" applyBorder="1" applyAlignment="1">
      <alignment horizontal="center" vertical="center"/>
    </xf>
    <xf numFmtId="3" fontId="63" fillId="0" borderId="19" xfId="1" applyNumberFormat="1" applyFont="1" applyBorder="1" applyAlignment="1">
      <alignment horizontal="center" vertical="center"/>
    </xf>
    <xf numFmtId="0" fontId="68" fillId="0" borderId="12" xfId="1" applyFont="1" applyBorder="1" applyAlignment="1">
      <alignment horizontal="center" vertical="center"/>
    </xf>
    <xf numFmtId="0" fontId="68" fillId="0" borderId="13" xfId="1" applyFont="1" applyBorder="1" applyAlignment="1">
      <alignment horizontal="center" vertical="center"/>
    </xf>
    <xf numFmtId="3" fontId="63" fillId="0" borderId="12" xfId="1" applyNumberFormat="1" applyFont="1" applyBorder="1" applyAlignment="1">
      <alignment horizontal="center" vertical="center"/>
    </xf>
    <xf numFmtId="3" fontId="63" fillId="0" borderId="13" xfId="1" applyNumberFormat="1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74" fillId="0" borderId="16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53" fillId="4" borderId="12" xfId="1" applyFont="1" applyFill="1" applyBorder="1" applyAlignment="1">
      <alignment horizontal="center" vertical="center" wrapText="1"/>
    </xf>
    <xf numFmtId="0" fontId="53" fillId="4" borderId="14" xfId="1" applyFont="1" applyFill="1" applyBorder="1" applyAlignment="1">
      <alignment horizontal="center" vertical="center" wrapText="1"/>
    </xf>
    <xf numFmtId="0" fontId="53" fillId="4" borderId="13" xfId="1" applyFont="1" applyFill="1" applyBorder="1" applyAlignment="1">
      <alignment horizontal="center" vertical="center" wrapText="1"/>
    </xf>
    <xf numFmtId="0" fontId="76" fillId="2" borderId="12" xfId="12" applyFont="1" applyFill="1" applyBorder="1" applyAlignment="1">
      <alignment horizontal="center" vertical="center"/>
    </xf>
    <xf numFmtId="0" fontId="76" fillId="2" borderId="13" xfId="12" applyFont="1" applyFill="1" applyBorder="1" applyAlignment="1">
      <alignment horizontal="center" vertical="center"/>
    </xf>
    <xf numFmtId="0" fontId="60" fillId="4" borderId="12" xfId="1" applyFont="1" applyFill="1" applyBorder="1" applyAlignment="1">
      <alignment horizontal="center" vertical="center"/>
    </xf>
    <xf numFmtId="0" fontId="60" fillId="4" borderId="14" xfId="1" applyFont="1" applyFill="1" applyBorder="1" applyAlignment="1">
      <alignment horizontal="center" vertical="center"/>
    </xf>
    <xf numFmtId="0" fontId="60" fillId="4" borderId="13" xfId="1" applyFont="1" applyFill="1" applyBorder="1" applyAlignment="1">
      <alignment horizontal="center" vertical="center"/>
    </xf>
    <xf numFmtId="0" fontId="62" fillId="0" borderId="24" xfId="1" applyFont="1" applyBorder="1" applyAlignment="1">
      <alignment horizontal="center" vertical="center"/>
    </xf>
    <xf numFmtId="0" fontId="62" fillId="0" borderId="26" xfId="1" applyFont="1" applyBorder="1" applyAlignment="1">
      <alignment horizontal="center" vertical="center"/>
    </xf>
    <xf numFmtId="0" fontId="62" fillId="0" borderId="25" xfId="1" applyFont="1" applyBorder="1" applyAlignment="1">
      <alignment horizontal="center" vertical="center"/>
    </xf>
    <xf numFmtId="0" fontId="61" fillId="3" borderId="23" xfId="1" applyFont="1" applyFill="1" applyBorder="1" applyAlignment="1">
      <alignment horizontal="center" vertical="center"/>
    </xf>
    <xf numFmtId="0" fontId="61" fillId="6" borderId="23" xfId="1" applyFont="1" applyFill="1" applyBorder="1" applyAlignment="1">
      <alignment horizontal="center" vertical="center"/>
    </xf>
    <xf numFmtId="0" fontId="73" fillId="6" borderId="23" xfId="1" applyFont="1" applyFill="1" applyBorder="1" applyAlignment="1">
      <alignment horizontal="center" vertical="center"/>
    </xf>
    <xf numFmtId="0" fontId="73" fillId="3" borderId="23" xfId="1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68" fillId="0" borderId="14" xfId="1" applyFont="1" applyBorder="1" applyAlignment="1">
      <alignment horizontal="center" vertical="center"/>
    </xf>
    <xf numFmtId="0" fontId="64" fillId="0" borderId="0" xfId="1" applyFont="1" applyAlignment="1">
      <alignment horizontal="center" vertical="center"/>
    </xf>
    <xf numFmtId="0" fontId="64" fillId="0" borderId="16" xfId="1" applyFont="1" applyBorder="1" applyAlignment="1">
      <alignment horizontal="center" vertical="center"/>
    </xf>
    <xf numFmtId="0" fontId="61" fillId="0" borderId="23" xfId="1" applyFont="1" applyBorder="1" applyAlignment="1">
      <alignment horizontal="center" vertical="center"/>
    </xf>
    <xf numFmtId="1" fontId="68" fillId="0" borderId="12" xfId="1" applyNumberFormat="1" applyFont="1" applyBorder="1" applyAlignment="1">
      <alignment horizontal="center" vertical="center"/>
    </xf>
    <xf numFmtId="0" fontId="52" fillId="4" borderId="12" xfId="1" applyFont="1" applyFill="1" applyBorder="1" applyAlignment="1">
      <alignment horizontal="center" vertical="center"/>
    </xf>
    <xf numFmtId="0" fontId="52" fillId="4" borderId="14" xfId="1" applyFont="1" applyFill="1" applyBorder="1" applyAlignment="1">
      <alignment horizontal="center" vertical="center"/>
    </xf>
    <xf numFmtId="0" fontId="52" fillId="4" borderId="13" xfId="1" applyFont="1" applyFill="1" applyBorder="1" applyAlignment="1">
      <alignment horizontal="center" vertical="center"/>
    </xf>
    <xf numFmtId="0" fontId="62" fillId="4" borderId="18" xfId="1" applyFont="1" applyFill="1" applyBorder="1" applyAlignment="1">
      <alignment horizontal="center" vertical="center" wrapText="1"/>
    </xf>
    <xf numFmtId="0" fontId="62" fillId="4" borderId="22" xfId="1" applyFont="1" applyFill="1" applyBorder="1" applyAlignment="1">
      <alignment horizontal="center" vertical="center" wrapText="1"/>
    </xf>
    <xf numFmtId="0" fontId="62" fillId="4" borderId="21" xfId="1" applyFont="1" applyFill="1" applyBorder="1" applyAlignment="1">
      <alignment horizontal="center" vertical="center" wrapText="1"/>
    </xf>
    <xf numFmtId="0" fontId="62" fillId="4" borderId="0" xfId="1" applyFont="1" applyFill="1" applyAlignment="1">
      <alignment horizontal="center" vertical="center" wrapText="1"/>
    </xf>
    <xf numFmtId="0" fontId="62" fillId="4" borderId="15" xfId="1" applyFont="1" applyFill="1" applyBorder="1" applyAlignment="1">
      <alignment horizontal="center" vertical="center" wrapText="1"/>
    </xf>
    <xf numFmtId="0" fontId="62" fillId="4" borderId="16" xfId="1" applyFont="1" applyFill="1" applyBorder="1" applyAlignment="1">
      <alignment horizontal="center" vertical="center" wrapText="1"/>
    </xf>
    <xf numFmtId="3" fontId="63" fillId="0" borderId="20" xfId="1" applyNumberFormat="1" applyFont="1" applyBorder="1" applyAlignment="1">
      <alignment horizontal="center" vertical="center"/>
    </xf>
    <xf numFmtId="3" fontId="63" fillId="0" borderId="14" xfId="1" applyNumberFormat="1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2" fillId="0" borderId="21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6" fillId="3" borderId="26" xfId="0" applyFont="1" applyFill="1" applyBorder="1" applyAlignment="1">
      <alignment horizontal="center" vertical="center"/>
    </xf>
    <xf numFmtId="3" fontId="44" fillId="0" borderId="17" xfId="1" applyNumberFormat="1" applyFont="1" applyBorder="1" applyAlignment="1">
      <alignment horizontal="center" vertical="center"/>
    </xf>
    <xf numFmtId="3" fontId="44" fillId="0" borderId="19" xfId="1" applyNumberFormat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37" fillId="0" borderId="12" xfId="1" applyFont="1" applyBorder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37" fillId="0" borderId="12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45" fillId="0" borderId="12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0" fillId="3" borderId="18" xfId="1" applyFont="1" applyFill="1" applyBorder="1" applyAlignment="1">
      <alignment horizontal="center" vertical="center"/>
    </xf>
    <xf numFmtId="0" fontId="30" fillId="3" borderId="17" xfId="1" applyFont="1" applyFill="1" applyBorder="1" applyAlignment="1">
      <alignment horizontal="center" vertical="center"/>
    </xf>
    <xf numFmtId="0" fontId="30" fillId="3" borderId="21" xfId="1" applyFont="1" applyFill="1" applyBorder="1" applyAlignment="1">
      <alignment horizontal="center" vertical="center"/>
    </xf>
    <xf numFmtId="0" fontId="30" fillId="3" borderId="20" xfId="1" applyFont="1" applyFill="1" applyBorder="1" applyAlignment="1">
      <alignment horizontal="center" vertical="center"/>
    </xf>
    <xf numFmtId="0" fontId="30" fillId="3" borderId="15" xfId="1" applyFont="1" applyFill="1" applyBorder="1" applyAlignment="1">
      <alignment horizontal="center" vertical="center"/>
    </xf>
    <xf numFmtId="0" fontId="30" fillId="3" borderId="19" xfId="1" applyFont="1" applyFill="1" applyBorder="1" applyAlignment="1">
      <alignment horizontal="center" vertical="center"/>
    </xf>
    <xf numFmtId="0" fontId="27" fillId="3" borderId="12" xfId="1" applyFont="1" applyFill="1" applyBorder="1" applyAlignment="1">
      <alignment horizontal="center" vertical="center" wrapText="1"/>
    </xf>
    <xf numFmtId="0" fontId="27" fillId="3" borderId="14" xfId="1" applyFont="1" applyFill="1" applyBorder="1" applyAlignment="1">
      <alignment horizontal="center" vertical="center" wrapText="1"/>
    </xf>
    <xf numFmtId="0" fontId="27" fillId="3" borderId="13" xfId="1" applyFont="1" applyFill="1" applyBorder="1" applyAlignment="1">
      <alignment horizontal="center" vertical="center" wrapText="1"/>
    </xf>
    <xf numFmtId="0" fontId="36" fillId="6" borderId="24" xfId="1" applyFont="1" applyFill="1" applyBorder="1" applyAlignment="1">
      <alignment horizontal="center" vertical="center"/>
    </xf>
    <xf numFmtId="0" fontId="36" fillId="6" borderId="25" xfId="1" applyFont="1" applyFill="1" applyBorder="1" applyAlignment="1">
      <alignment horizontal="center" vertical="center"/>
    </xf>
    <xf numFmtId="0" fontId="36" fillId="7" borderId="24" xfId="1" applyFont="1" applyFill="1" applyBorder="1" applyAlignment="1">
      <alignment horizontal="center" vertical="center"/>
    </xf>
    <xf numFmtId="0" fontId="36" fillId="7" borderId="25" xfId="1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7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2" fillId="2" borderId="18" xfId="1" applyFont="1" applyFill="1" applyBorder="1" applyAlignment="1">
      <alignment horizontal="center" vertical="center" wrapText="1"/>
    </xf>
    <xf numFmtId="0" fontId="42" fillId="2" borderId="22" xfId="1" applyFont="1" applyFill="1" applyBorder="1" applyAlignment="1">
      <alignment horizontal="center" vertical="center" wrapText="1"/>
    </xf>
    <xf numFmtId="0" fontId="42" fillId="2" borderId="17" xfId="1" applyFont="1" applyFill="1" applyBorder="1" applyAlignment="1">
      <alignment horizontal="center" vertical="center" wrapText="1"/>
    </xf>
    <xf numFmtId="0" fontId="42" fillId="2" borderId="15" xfId="1" applyFont="1" applyFill="1" applyBorder="1" applyAlignment="1">
      <alignment horizontal="center" vertical="center" wrapText="1"/>
    </xf>
    <xf numFmtId="0" fontId="42" fillId="2" borderId="16" xfId="1" applyFont="1" applyFill="1" applyBorder="1" applyAlignment="1">
      <alignment horizontal="center" vertical="center" wrapText="1"/>
    </xf>
    <xf numFmtId="0" fontId="42" fillId="2" borderId="19" xfId="1" applyFont="1" applyFill="1" applyBorder="1" applyAlignment="1">
      <alignment horizontal="center" vertical="center" wrapText="1"/>
    </xf>
    <xf numFmtId="0" fontId="26" fillId="3" borderId="18" xfId="1" applyFont="1" applyFill="1" applyBorder="1" applyAlignment="1">
      <alignment horizontal="center" vertical="center" wrapText="1"/>
    </xf>
    <xf numFmtId="0" fontId="26" fillId="3" borderId="17" xfId="1" applyFont="1" applyFill="1" applyBorder="1" applyAlignment="1">
      <alignment horizontal="center" vertical="center" wrapText="1"/>
    </xf>
    <xf numFmtId="0" fontId="26" fillId="3" borderId="21" xfId="1" applyFont="1" applyFill="1" applyBorder="1" applyAlignment="1">
      <alignment horizontal="center" vertical="center" wrapText="1"/>
    </xf>
    <xf numFmtId="0" fontId="26" fillId="3" borderId="20" xfId="1" applyFont="1" applyFill="1" applyBorder="1" applyAlignment="1">
      <alignment horizontal="center" vertical="center" wrapText="1"/>
    </xf>
    <xf numFmtId="0" fontId="26" fillId="3" borderId="0" xfId="1" applyFont="1" applyFill="1" applyAlignment="1">
      <alignment horizontal="center" vertical="center" wrapText="1"/>
    </xf>
    <xf numFmtId="0" fontId="26" fillId="3" borderId="16" xfId="1" applyFont="1" applyFill="1" applyBorder="1" applyAlignment="1">
      <alignment horizontal="center" vertical="center" wrapText="1"/>
    </xf>
    <xf numFmtId="0" fontId="26" fillId="3" borderId="19" xfId="1" applyFont="1" applyFill="1" applyBorder="1" applyAlignment="1">
      <alignment horizontal="center" vertical="center" wrapText="1"/>
    </xf>
    <xf numFmtId="0" fontId="34" fillId="6" borderId="24" xfId="1" applyFont="1" applyFill="1" applyBorder="1" applyAlignment="1">
      <alignment horizontal="center" vertical="center" wrapText="1"/>
    </xf>
    <xf numFmtId="0" fontId="34" fillId="6" borderId="25" xfId="1" applyFont="1" applyFill="1" applyBorder="1" applyAlignment="1">
      <alignment horizontal="center" vertical="center" wrapText="1"/>
    </xf>
    <xf numFmtId="0" fontId="34" fillId="7" borderId="24" xfId="1" applyFont="1" applyFill="1" applyBorder="1" applyAlignment="1">
      <alignment horizontal="center" vertical="center" wrapText="1"/>
    </xf>
    <xf numFmtId="0" fontId="34" fillId="7" borderId="25" xfId="1" applyFont="1" applyFill="1" applyBorder="1" applyAlignment="1">
      <alignment horizontal="center" vertical="center" wrapText="1"/>
    </xf>
    <xf numFmtId="3" fontId="44" fillId="0" borderId="12" xfId="1" applyNumberFormat="1" applyFont="1" applyBorder="1" applyAlignment="1">
      <alignment horizontal="center" vertical="center"/>
    </xf>
    <xf numFmtId="3" fontId="44" fillId="0" borderId="13" xfId="1" applyNumberFormat="1" applyFont="1" applyBorder="1" applyAlignment="1">
      <alignment horizontal="center" vertical="center"/>
    </xf>
    <xf numFmtId="0" fontId="42" fillId="2" borderId="12" xfId="1" applyFont="1" applyFill="1" applyBorder="1" applyAlignment="1">
      <alignment horizontal="center" vertical="center"/>
    </xf>
    <xf numFmtId="0" fontId="42" fillId="2" borderId="13" xfId="1" applyFont="1" applyFill="1" applyBorder="1" applyAlignment="1">
      <alignment horizontal="center" vertical="center"/>
    </xf>
    <xf numFmtId="0" fontId="26" fillId="3" borderId="15" xfId="1" applyFont="1" applyFill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77" fillId="3" borderId="23" xfId="12" applyFont="1" applyFill="1" applyBorder="1" applyAlignment="1">
      <alignment horizontal="center" vertical="center"/>
    </xf>
  </cellXfs>
  <cellStyles count="14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DC9FE1E9-DE77-4285-B1CF-78938FD7865B}"/>
    <cellStyle name="Normal 2 2 2 2" xfId="12" xr:uid="{9B4A5C03-BA1D-4FF1-A8D5-F3042AC67515}"/>
    <cellStyle name="Normal 2 2 3" xfId="9" xr:uid="{CD166A0E-4AD0-4081-8E6C-D3C923253D3B}"/>
    <cellStyle name="Normal 2 3" xfId="5" xr:uid="{F726F59D-67D7-4714-98C5-0B3EC6401FE9}"/>
    <cellStyle name="Normal 2 3 2" xfId="11" xr:uid="{0924D94B-F0A8-46C0-A715-24C921814524}"/>
    <cellStyle name="Normal 2 4" xfId="8" xr:uid="{A2B90203-F7AE-454B-90E2-2D0EAD9CE050}"/>
    <cellStyle name="Normal 3 3" xfId="4" xr:uid="{00000000-0005-0000-0000-000003000000}"/>
    <cellStyle name="Normal 3 3 2" xfId="7" xr:uid="{33A4C0B9-C98F-4D47-9243-70291002EB08}"/>
    <cellStyle name="Normal 3 3 2 2" xfId="13" xr:uid="{9F705FF3-5133-4AA8-B5E9-3E6F97DA2347}"/>
    <cellStyle name="Normal 3 3 3" xfId="10" xr:uid="{1DE21279-6F49-46A3-B151-194091408C50}"/>
    <cellStyle name="Normal 4 2" xfId="2" xr:uid="{00000000-0005-0000-0000-000004000000}"/>
  </cellStyles>
  <dxfs count="0"/>
  <tableStyles count="0" defaultTableStyle="TableStyleMedium2" defaultPivotStyle="PivotStyleLight16"/>
  <colors>
    <mruColors>
      <color rgb="FF0000FF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152896</xdr:colOff>
      <xdr:row>1</xdr:row>
      <xdr:rowOff>295026</xdr:rowOff>
    </xdr:from>
    <xdr:ext cx="4155190" cy="147027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396" y="707776"/>
          <a:ext cx="4155190" cy="147027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123713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3D7BCCD-8FF6-4B06-9CC2-832F378F2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12371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234683</xdr:colOff>
      <xdr:row>43</xdr:row>
      <xdr:rowOff>0</xdr:rowOff>
    </xdr:from>
    <xdr:ext cx="1727862" cy="654844"/>
    <xdr:pic>
      <xdr:nvPicPr>
        <xdr:cNvPr id="5" name="Picture 4">
          <a:extLst>
            <a:ext uri="{FF2B5EF4-FFF2-40B4-BE49-F238E27FC236}">
              <a16:creationId xmlns:a16="http://schemas.microsoft.com/office/drawing/2014/main" id="{1892653A-E385-4E3A-A955-53368B9A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83" y="6275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70373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7037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7"/>
  <sheetViews>
    <sheetView tabSelected="1" topLeftCell="A33" zoomScale="30" zoomScaleNormal="30" zoomScaleSheetLayoutView="30" zoomScalePageLayoutView="40" workbookViewId="0">
      <selection activeCell="I54" sqref="I54"/>
    </sheetView>
  </sheetViews>
  <sheetFormatPr defaultColWidth="5.6640625" defaultRowHeight="15" customHeight="1"/>
  <cols>
    <col min="1" max="1" width="5.6640625" style="75"/>
    <col min="2" max="2" width="39.5546875" style="75" customWidth="1"/>
    <col min="3" max="3" width="149" style="75" customWidth="1"/>
    <col min="4" max="4" width="29.33203125" style="75" customWidth="1"/>
    <col min="5" max="5" width="57.44140625" style="75" customWidth="1"/>
    <col min="6" max="10" width="40.109375" style="75" customWidth="1"/>
    <col min="11" max="11" width="40.109375" style="80" customWidth="1"/>
    <col min="12" max="12" width="34.44140625" style="75" customWidth="1"/>
    <col min="13" max="13" width="31.109375" style="75" customWidth="1"/>
    <col min="14" max="14" width="66.109375" style="75" customWidth="1"/>
    <col min="16" max="19" width="27.21875" style="75" customWidth="1"/>
    <col min="20" max="24" width="22.21875" style="75" customWidth="1"/>
    <col min="25" max="16384" width="5.6640625" style="75"/>
  </cols>
  <sheetData>
    <row r="1" spans="2:19" ht="32.25" customHeight="1"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2:19" ht="32.25" customHeight="1"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2:19" ht="32.25" customHeight="1">
      <c r="C3" s="82"/>
      <c r="D3" s="82"/>
      <c r="E3" s="202" t="s">
        <v>156</v>
      </c>
      <c r="F3" s="202"/>
      <c r="G3" s="202"/>
      <c r="H3" s="202"/>
      <c r="I3" s="202"/>
      <c r="J3" s="202"/>
      <c r="K3" s="202"/>
      <c r="L3" s="82"/>
      <c r="M3" s="82"/>
      <c r="N3" s="82"/>
    </row>
    <row r="4" spans="2:19" ht="36" customHeight="1">
      <c r="E4" s="202"/>
      <c r="F4" s="202"/>
      <c r="G4" s="202"/>
      <c r="H4" s="202"/>
      <c r="I4" s="202"/>
      <c r="J4" s="202"/>
      <c r="K4" s="202"/>
      <c r="L4" s="82"/>
      <c r="M4" s="82"/>
      <c r="N4" s="82"/>
    </row>
    <row r="5" spans="2:19" ht="32.25" customHeight="1" thickBot="1">
      <c r="B5" s="121"/>
      <c r="C5" s="121"/>
      <c r="D5" s="121"/>
      <c r="E5" s="203"/>
      <c r="F5" s="203"/>
      <c r="G5" s="203"/>
      <c r="H5" s="203"/>
      <c r="I5" s="203"/>
      <c r="J5" s="203"/>
      <c r="K5" s="203"/>
      <c r="L5" s="82"/>
      <c r="M5" s="82"/>
      <c r="N5" s="82"/>
    </row>
    <row r="6" spans="2:19" ht="67.2" customHeight="1" thickBot="1">
      <c r="B6" s="183" t="s">
        <v>157</v>
      </c>
      <c r="C6" s="183"/>
      <c r="D6" s="184"/>
      <c r="E6" s="101" t="s">
        <v>129</v>
      </c>
      <c r="F6" s="193" t="s">
        <v>130</v>
      </c>
      <c r="G6" s="194"/>
      <c r="H6" s="194"/>
      <c r="I6" s="194"/>
      <c r="J6" s="194"/>
      <c r="K6" s="195"/>
      <c r="L6" s="209" t="s">
        <v>77</v>
      </c>
      <c r="M6" s="210"/>
      <c r="N6" s="206" t="s">
        <v>111</v>
      </c>
    </row>
    <row r="7" spans="2:19" ht="27.75" customHeight="1" thickBot="1">
      <c r="B7" s="185" t="s">
        <v>116</v>
      </c>
      <c r="C7" s="190" t="s">
        <v>117</v>
      </c>
      <c r="D7" s="185" t="s">
        <v>35</v>
      </c>
      <c r="E7" s="204" t="s">
        <v>121</v>
      </c>
      <c r="F7" s="197" t="s">
        <v>120</v>
      </c>
      <c r="G7" s="197"/>
      <c r="H7" s="196" t="s">
        <v>118</v>
      </c>
      <c r="I7" s="196"/>
      <c r="J7" s="197" t="s">
        <v>119</v>
      </c>
      <c r="K7" s="197"/>
      <c r="L7" s="211"/>
      <c r="M7" s="212"/>
      <c r="N7" s="207"/>
      <c r="P7" s="76"/>
      <c r="Q7" s="76"/>
      <c r="R7" s="77"/>
    </row>
    <row r="8" spans="2:19" ht="27.75" customHeight="1" thickBot="1">
      <c r="B8" s="186"/>
      <c r="C8" s="191"/>
      <c r="D8" s="186"/>
      <c r="E8" s="204"/>
      <c r="F8" s="197"/>
      <c r="G8" s="197"/>
      <c r="H8" s="196"/>
      <c r="I8" s="196"/>
      <c r="J8" s="197"/>
      <c r="K8" s="197"/>
      <c r="L8" s="211"/>
      <c r="M8" s="212"/>
      <c r="N8" s="207"/>
      <c r="P8" s="76"/>
      <c r="Q8" s="76"/>
      <c r="R8" s="77"/>
    </row>
    <row r="9" spans="2:19" ht="27.75" customHeight="1" thickBot="1">
      <c r="B9" s="186"/>
      <c r="C9" s="191"/>
      <c r="D9" s="186"/>
      <c r="E9" s="199" t="s">
        <v>69</v>
      </c>
      <c r="F9" s="198" t="s">
        <v>71</v>
      </c>
      <c r="G9" s="198"/>
      <c r="H9" s="199" t="s">
        <v>74</v>
      </c>
      <c r="I9" s="199"/>
      <c r="J9" s="198" t="s">
        <v>76</v>
      </c>
      <c r="K9" s="198"/>
      <c r="L9" s="211"/>
      <c r="M9" s="212"/>
      <c r="N9" s="207"/>
    </row>
    <row r="10" spans="2:19" ht="27.75" customHeight="1" thickBot="1">
      <c r="B10" s="186"/>
      <c r="C10" s="191"/>
      <c r="D10" s="186"/>
      <c r="E10" s="199"/>
      <c r="F10" s="198"/>
      <c r="G10" s="198"/>
      <c r="H10" s="199"/>
      <c r="I10" s="199"/>
      <c r="J10" s="198"/>
      <c r="K10" s="198"/>
      <c r="L10" s="213"/>
      <c r="M10" s="214"/>
      <c r="N10" s="207"/>
      <c r="P10" s="78"/>
      <c r="Q10" s="78"/>
      <c r="R10" s="79"/>
      <c r="S10" s="79"/>
    </row>
    <row r="11" spans="2:19" ht="59.4" customHeight="1" thickBot="1">
      <c r="B11" s="187"/>
      <c r="C11" s="192"/>
      <c r="D11" s="187"/>
      <c r="E11" s="142" t="s">
        <v>70</v>
      </c>
      <c r="F11" s="106" t="s">
        <v>70</v>
      </c>
      <c r="G11" s="143" t="s">
        <v>66</v>
      </c>
      <c r="H11" s="142" t="s">
        <v>70</v>
      </c>
      <c r="I11" s="144" t="s">
        <v>66</v>
      </c>
      <c r="J11" s="106" t="s">
        <v>70</v>
      </c>
      <c r="K11" s="143" t="s">
        <v>66</v>
      </c>
      <c r="L11" s="104" t="s">
        <v>68</v>
      </c>
      <c r="M11" s="105" t="s">
        <v>67</v>
      </c>
      <c r="N11" s="208"/>
      <c r="P11" s="107" t="s">
        <v>113</v>
      </c>
      <c r="Q11" s="107" t="s">
        <v>87</v>
      </c>
      <c r="R11" s="108" t="s">
        <v>74</v>
      </c>
      <c r="S11" s="109" t="s">
        <v>76</v>
      </c>
    </row>
    <row r="12" spans="2:19" ht="55.95" customHeight="1" thickBot="1">
      <c r="B12" s="181">
        <v>1</v>
      </c>
      <c r="C12" s="131" t="s">
        <v>115</v>
      </c>
      <c r="D12" s="188">
        <v>36</v>
      </c>
      <c r="E12" s="145"/>
      <c r="F12" s="145"/>
      <c r="G12" s="145"/>
      <c r="H12" s="145"/>
      <c r="I12" s="145"/>
      <c r="J12" s="145"/>
      <c r="K12" s="145"/>
      <c r="L12" s="171">
        <f>SUM(E12:K12)</f>
        <v>0</v>
      </c>
      <c r="M12" s="173">
        <f>'บางบัวทอง-รถ'!C10</f>
        <v>0</v>
      </c>
      <c r="N12" s="200"/>
      <c r="O12" s="86"/>
      <c r="P12" s="87">
        <f>SUM(E12)</f>
        <v>0</v>
      </c>
      <c r="Q12" s="87">
        <f>SUM(F12:G12)</f>
        <v>0</v>
      </c>
      <c r="R12" s="88">
        <f>SUM(H12,I12)</f>
        <v>0</v>
      </c>
      <c r="S12" s="89">
        <f>SUM(J12:K12)</f>
        <v>0</v>
      </c>
    </row>
    <row r="13" spans="2:19" ht="55.95" customHeight="1" thickBot="1">
      <c r="B13" s="182"/>
      <c r="C13" s="141" t="s">
        <v>133</v>
      </c>
      <c r="D13" s="189"/>
      <c r="E13" s="146" t="str">
        <f t="shared" ref="E13:K13" si="0">IF(E12=0, "", IF(MOD(E12, $D$12) = 0, E12 / $D$12, IF(INT(E12 / $D$12) = 0, MOD(E12, $D$12) &amp; " P", INT(E12 / $D$12) &amp; " + " &amp; MOD(E12, $D$12) &amp; " P")))</f>
        <v/>
      </c>
      <c r="F13" s="146" t="str">
        <f t="shared" si="0"/>
        <v/>
      </c>
      <c r="G13" s="146" t="str">
        <f t="shared" si="0"/>
        <v/>
      </c>
      <c r="H13" s="146" t="str">
        <f t="shared" si="0"/>
        <v/>
      </c>
      <c r="I13" s="146" t="str">
        <f t="shared" si="0"/>
        <v/>
      </c>
      <c r="J13" s="146" t="str">
        <f t="shared" si="0"/>
        <v/>
      </c>
      <c r="K13" s="146" t="str">
        <f t="shared" si="0"/>
        <v/>
      </c>
      <c r="L13" s="215"/>
      <c r="M13" s="201"/>
      <c r="N13" s="200"/>
      <c r="O13" s="86"/>
      <c r="P13" s="87"/>
      <c r="Q13" s="87"/>
      <c r="R13" s="88"/>
      <c r="S13" s="90"/>
    </row>
    <row r="14" spans="2:19" ht="55.95" customHeight="1" thickBot="1">
      <c r="B14" s="181">
        <v>2</v>
      </c>
      <c r="C14" s="132" t="s">
        <v>57</v>
      </c>
      <c r="D14" s="181">
        <v>32</v>
      </c>
      <c r="E14" s="145"/>
      <c r="F14" s="145"/>
      <c r="G14" s="145"/>
      <c r="H14" s="145"/>
      <c r="I14" s="145"/>
      <c r="J14" s="145"/>
      <c r="K14" s="145"/>
      <c r="L14" s="171">
        <f>SUM(E14:K14)</f>
        <v>0</v>
      </c>
      <c r="M14" s="173">
        <f>'บางบัวทอง-รถ'!C11</f>
        <v>0</v>
      </c>
      <c r="N14" s="200"/>
      <c r="O14" s="86"/>
      <c r="P14" s="87">
        <f>SUM(E14)</f>
        <v>0</v>
      </c>
      <c r="Q14" s="87">
        <f>SUM(F14:G14)</f>
        <v>0</v>
      </c>
      <c r="R14" s="88">
        <f>SUM(H14,I14)</f>
        <v>0</v>
      </c>
      <c r="S14" s="89">
        <f>SUM(J14:K14)</f>
        <v>0</v>
      </c>
    </row>
    <row r="15" spans="2:19" ht="55.95" customHeight="1" thickBot="1">
      <c r="B15" s="182"/>
      <c r="C15" s="140" t="s">
        <v>122</v>
      </c>
      <c r="D15" s="182"/>
      <c r="E15" s="146" t="str">
        <f t="shared" ref="E15:K15" si="1">IF(E14=0, "", IF(MOD(E14, $D$14) = 0, E14 / $D$14, IF(INT(E14 / $D$14) = 0, MOD(E14, $D$14) &amp; " P", INT(E14 / $D$14) &amp; " + " &amp; MOD(E14, $D$14) &amp; " P")))</f>
        <v/>
      </c>
      <c r="F15" s="146" t="str">
        <f t="shared" si="1"/>
        <v/>
      </c>
      <c r="G15" s="146" t="str">
        <f t="shared" si="1"/>
        <v/>
      </c>
      <c r="H15" s="146" t="str">
        <f t="shared" si="1"/>
        <v/>
      </c>
      <c r="I15" s="146" t="str">
        <f t="shared" si="1"/>
        <v/>
      </c>
      <c r="J15" s="146" t="str">
        <f t="shared" si="1"/>
        <v/>
      </c>
      <c r="K15" s="146" t="str">
        <f t="shared" si="1"/>
        <v/>
      </c>
      <c r="L15" s="172"/>
      <c r="M15" s="201"/>
      <c r="N15" s="200"/>
      <c r="O15" s="86"/>
      <c r="P15" s="87"/>
      <c r="Q15" s="87"/>
      <c r="R15" s="88"/>
      <c r="S15" s="90"/>
    </row>
    <row r="16" spans="2:19" ht="55.95" customHeight="1" thickBot="1">
      <c r="B16" s="181">
        <v>3</v>
      </c>
      <c r="C16" s="132" t="s">
        <v>145</v>
      </c>
      <c r="D16" s="181">
        <v>14</v>
      </c>
      <c r="E16" s="145"/>
      <c r="F16" s="145"/>
      <c r="G16" s="145"/>
      <c r="H16" s="145"/>
      <c r="I16" s="145"/>
      <c r="J16" s="145"/>
      <c r="K16" s="145"/>
      <c r="L16" s="171">
        <f>SUM(E16:K16)</f>
        <v>0</v>
      </c>
      <c r="M16" s="173">
        <f>'บางบัวทอง-รถ'!C12</f>
        <v>0</v>
      </c>
      <c r="N16" s="200"/>
      <c r="O16" s="86"/>
      <c r="P16" s="87">
        <f>SUM(E16)</f>
        <v>0</v>
      </c>
      <c r="Q16" s="87">
        <f>SUM(F16:G16)</f>
        <v>0</v>
      </c>
      <c r="R16" s="88">
        <f>SUM(H16,I16)</f>
        <v>0</v>
      </c>
      <c r="S16" s="89">
        <f>SUM(J16:K16)</f>
        <v>0</v>
      </c>
    </row>
    <row r="17" spans="2:19" ht="55.95" customHeight="1" thickBot="1">
      <c r="B17" s="182"/>
      <c r="C17" s="140" t="s">
        <v>146</v>
      </c>
      <c r="D17" s="182"/>
      <c r="E17" s="147" t="str">
        <f>IF(E16=0, "", IF(MOD(E16, $D$16) = 0, E16/ $D$16, IF(INT(E16 / $D$16) = 0, MOD(E16, $D$16) &amp; " P", INT(E16 / $D$16) &amp; " + " &amp; MOD(E16, $D$16) &amp; " P")))</f>
        <v/>
      </c>
      <c r="F17" s="147" t="str">
        <f t="shared" ref="F17:K17" si="2">IF(F16=0, "", IF(MOD(F16, $D$16) = 0, F16/ $D$16, IF(INT(F16 / $D$16) = 0, MOD(F16, $D$16) &amp; " P", INT(F16 / $D$16) &amp; " + " &amp; MOD(F16, $D$16) &amp; " P")))</f>
        <v/>
      </c>
      <c r="G17" s="147" t="str">
        <f t="shared" si="2"/>
        <v/>
      </c>
      <c r="H17" s="147" t="str">
        <f t="shared" si="2"/>
        <v/>
      </c>
      <c r="I17" s="147" t="str">
        <f t="shared" si="2"/>
        <v/>
      </c>
      <c r="J17" s="147" t="str">
        <f t="shared" si="2"/>
        <v/>
      </c>
      <c r="K17" s="147" t="str">
        <f t="shared" si="2"/>
        <v/>
      </c>
      <c r="L17" s="172"/>
      <c r="M17" s="201"/>
      <c r="N17" s="200"/>
      <c r="O17" s="86"/>
      <c r="P17" s="87"/>
      <c r="Q17" s="87"/>
      <c r="R17" s="88"/>
      <c r="S17" s="90"/>
    </row>
    <row r="18" spans="2:19" ht="55.95" customHeight="1" thickBot="1">
      <c r="B18" s="137">
        <v>4</v>
      </c>
      <c r="C18" s="132" t="s">
        <v>147</v>
      </c>
      <c r="D18" s="181">
        <v>14</v>
      </c>
      <c r="E18" s="145"/>
      <c r="F18" s="145"/>
      <c r="G18" s="145"/>
      <c r="H18" s="145"/>
      <c r="I18" s="145"/>
      <c r="J18" s="145"/>
      <c r="K18" s="145"/>
      <c r="L18" s="171">
        <f>SUM(E18:K18)</f>
        <v>0</v>
      </c>
      <c r="M18" s="173">
        <f>'บางบัวทอง-รถ'!C13</f>
        <v>0</v>
      </c>
      <c r="N18" s="200"/>
      <c r="O18" s="86"/>
      <c r="P18" s="87">
        <f>SUM(E18)</f>
        <v>0</v>
      </c>
      <c r="Q18" s="87">
        <f>SUM(F18:G18)</f>
        <v>0</v>
      </c>
      <c r="R18" s="88">
        <f>SUM(H18,I18)</f>
        <v>0</v>
      </c>
      <c r="S18" s="89">
        <f>SUM(J18:K18)</f>
        <v>0</v>
      </c>
    </row>
    <row r="19" spans="2:19" ht="55.95" customHeight="1" thickBot="1">
      <c r="B19" s="138"/>
      <c r="C19" s="140" t="s">
        <v>148</v>
      </c>
      <c r="D19" s="182"/>
      <c r="E19" s="147" t="str">
        <f>IF(E18=0, "", IF(MOD(E18, $D$18) = 0, E18/ $D$18, IF(INT(E18 / $D$18) = 0, MOD(E18, $D$18) &amp; " P", INT(E18 / $D$18) &amp; " + " &amp; MOD(E18, $D$18) &amp; " P")))</f>
        <v/>
      </c>
      <c r="F19" s="147" t="str">
        <f t="shared" ref="F19:K19" si="3">IF(F18=0, "", IF(MOD(F18, $D$18) = 0, F18/ $D$18, IF(INT(F18 / $D$18) = 0, MOD(F18, $D$18) &amp; " P", INT(F18 / $D$18) &amp; " + " &amp; MOD(F18, $D$18) &amp; " P")))</f>
        <v/>
      </c>
      <c r="G19" s="147" t="str">
        <f t="shared" si="3"/>
        <v/>
      </c>
      <c r="H19" s="147" t="str">
        <f t="shared" si="3"/>
        <v/>
      </c>
      <c r="I19" s="147" t="str">
        <f t="shared" si="3"/>
        <v/>
      </c>
      <c r="J19" s="147" t="str">
        <f t="shared" si="3"/>
        <v/>
      </c>
      <c r="K19" s="147" t="str">
        <f t="shared" si="3"/>
        <v/>
      </c>
      <c r="L19" s="172"/>
      <c r="M19" s="201"/>
      <c r="N19" s="200"/>
      <c r="O19" s="86"/>
      <c r="P19" s="87"/>
      <c r="Q19" s="87"/>
      <c r="R19" s="88"/>
      <c r="S19" s="90"/>
    </row>
    <row r="20" spans="2:19" ht="55.95" customHeight="1" thickBot="1">
      <c r="B20" s="137">
        <v>5</v>
      </c>
      <c r="C20" s="132" t="s">
        <v>58</v>
      </c>
      <c r="D20" s="181">
        <v>32</v>
      </c>
      <c r="E20" s="145"/>
      <c r="F20" s="145"/>
      <c r="G20" s="145"/>
      <c r="H20" s="145"/>
      <c r="I20" s="145"/>
      <c r="J20" s="145"/>
      <c r="K20" s="145"/>
      <c r="L20" s="171">
        <f>SUM(E20:K20)</f>
        <v>0</v>
      </c>
      <c r="M20" s="205">
        <f>'บางบัวทอง-รถ'!C14</f>
        <v>0</v>
      </c>
      <c r="N20" s="200"/>
      <c r="O20" s="86"/>
      <c r="P20" s="87">
        <f>SUM(E20)</f>
        <v>0</v>
      </c>
      <c r="Q20" s="87">
        <f>SUM(F20:G20)</f>
        <v>0</v>
      </c>
      <c r="R20" s="88">
        <f>SUM(H20,I20)</f>
        <v>0</v>
      </c>
      <c r="S20" s="89">
        <f>SUM(J20:K20)</f>
        <v>0</v>
      </c>
    </row>
    <row r="21" spans="2:19" ht="55.95" customHeight="1" thickBot="1">
      <c r="B21" s="138"/>
      <c r="C21" s="140" t="s">
        <v>123</v>
      </c>
      <c r="D21" s="182"/>
      <c r="E21" s="147" t="str">
        <f>IF(E20=0, "", IF(MOD(E20, $D$20) = 0, E20/ $D$20, IF(INT(E20 / $D$20) = 0, MOD(E20, $D$20) &amp; " P", INT(E20 / $D$20) &amp; " + " &amp; MOD(E20, $D$20) &amp; " P")))</f>
        <v/>
      </c>
      <c r="F21" s="147" t="str">
        <f t="shared" ref="F21:K21" si="4">IF(F20=0, "", IF(MOD(F20, $D$20) = 0, F20/ $D$20, IF(INT(F20 / $D$20) = 0, MOD(F20, $D$20) &amp; " P", INT(F20 / $D$20) &amp; " + " &amp; MOD(F20, $D$20) &amp; " P")))</f>
        <v/>
      </c>
      <c r="G21" s="147" t="str">
        <f t="shared" si="4"/>
        <v/>
      </c>
      <c r="H21" s="147" t="str">
        <f t="shared" si="4"/>
        <v/>
      </c>
      <c r="I21" s="147" t="str">
        <f t="shared" si="4"/>
        <v/>
      </c>
      <c r="J21" s="147" t="str">
        <f t="shared" si="4"/>
        <v/>
      </c>
      <c r="K21" s="147" t="str">
        <f t="shared" si="4"/>
        <v/>
      </c>
      <c r="L21" s="172"/>
      <c r="M21" s="201"/>
      <c r="N21" s="200"/>
      <c r="O21" s="86"/>
      <c r="P21" s="87"/>
      <c r="Q21" s="87"/>
      <c r="R21" s="88"/>
      <c r="S21" s="90"/>
    </row>
    <row r="22" spans="2:19" ht="55.95" customHeight="1" thickBot="1">
      <c r="B22" s="137">
        <v>6</v>
      </c>
      <c r="C22" s="136" t="s">
        <v>142</v>
      </c>
      <c r="D22" s="181">
        <v>27</v>
      </c>
      <c r="E22" s="148"/>
      <c r="F22" s="145"/>
      <c r="G22" s="145"/>
      <c r="H22" s="145"/>
      <c r="I22" s="145"/>
      <c r="J22" s="145"/>
      <c r="K22" s="145"/>
      <c r="L22" s="171">
        <f>SUM(E22:K22)</f>
        <v>0</v>
      </c>
      <c r="M22" s="205">
        <f>'บางบัวทอง-รถ'!C15</f>
        <v>0</v>
      </c>
      <c r="N22" s="200"/>
      <c r="O22" s="86"/>
      <c r="P22" s="87">
        <f>SUM(E22)</f>
        <v>0</v>
      </c>
      <c r="Q22" s="87">
        <f>SUM(F22:G22)</f>
        <v>0</v>
      </c>
      <c r="R22" s="88">
        <f>SUM(H22,I22)</f>
        <v>0</v>
      </c>
      <c r="S22" s="89">
        <f>SUM(J22:K22)</f>
        <v>0</v>
      </c>
    </row>
    <row r="23" spans="2:19" ht="55.95" customHeight="1" thickBot="1">
      <c r="B23" s="138"/>
      <c r="C23" s="140" t="s">
        <v>143</v>
      </c>
      <c r="D23" s="182"/>
      <c r="E23" s="147" t="str">
        <f>IF(E22=0, "", IF(MOD(E22, $D$22) = 0, E22/ $D$22, IF(INT(E22 / $D$22) = 0, MOD(E22, $D$22) &amp; " P", INT(E22 / $D$22) &amp; " + " &amp; MOD(E22, $D$22) &amp; " P")))</f>
        <v/>
      </c>
      <c r="F23" s="147" t="str">
        <f t="shared" ref="F23:K23" si="5">IF(F22=0, "", IF(MOD(F22, $D$22) = 0, F22/ $D$22, IF(INT(F22 / $D$22) = 0, MOD(F22, $D$22) &amp; " P", INT(F22 / $D$22) &amp; " + " &amp; MOD(F22, $D$22) &amp; " P")))</f>
        <v/>
      </c>
      <c r="G23" s="147" t="str">
        <f t="shared" si="5"/>
        <v/>
      </c>
      <c r="H23" s="147" t="str">
        <f t="shared" si="5"/>
        <v/>
      </c>
      <c r="I23" s="147" t="str">
        <f t="shared" si="5"/>
        <v/>
      </c>
      <c r="J23" s="147" t="str">
        <f t="shared" si="5"/>
        <v/>
      </c>
      <c r="K23" s="147" t="str">
        <f t="shared" si="5"/>
        <v/>
      </c>
      <c r="L23" s="172"/>
      <c r="M23" s="201"/>
      <c r="N23" s="200"/>
      <c r="O23" s="86"/>
      <c r="P23" s="87"/>
      <c r="Q23" s="87"/>
      <c r="R23" s="88"/>
      <c r="S23" s="90"/>
    </row>
    <row r="24" spans="2:19" ht="55.95" customHeight="1" thickBot="1">
      <c r="B24" s="137">
        <v>7</v>
      </c>
      <c r="C24" s="133" t="s">
        <v>149</v>
      </c>
      <c r="D24" s="181">
        <v>27</v>
      </c>
      <c r="E24" s="145"/>
      <c r="F24" s="145"/>
      <c r="G24" s="145"/>
      <c r="H24" s="145"/>
      <c r="I24" s="149"/>
      <c r="J24" s="149"/>
      <c r="K24" s="145"/>
      <c r="L24" s="175">
        <f>SUM(E24:K24)</f>
        <v>0</v>
      </c>
      <c r="M24" s="173">
        <f>'บางบัวทอง-รถ'!C16</f>
        <v>0</v>
      </c>
      <c r="N24" s="200"/>
      <c r="O24" s="86"/>
      <c r="P24" s="87">
        <f>SUM(E24)</f>
        <v>0</v>
      </c>
      <c r="Q24" s="87">
        <f>SUM(F24:G24)</f>
        <v>0</v>
      </c>
      <c r="R24" s="88">
        <f>SUM(H24,I24)</f>
        <v>0</v>
      </c>
      <c r="S24" s="89">
        <f>SUM(J24:K24)</f>
        <v>0</v>
      </c>
    </row>
    <row r="25" spans="2:19" ht="55.95" customHeight="1" thickBot="1">
      <c r="B25" s="138"/>
      <c r="C25" s="140" t="s">
        <v>134</v>
      </c>
      <c r="D25" s="182"/>
      <c r="E25" s="147" t="str">
        <f t="shared" ref="E25:K25" si="6">IF(E24=0, "", IF(MOD(E24, $D$24) = 0, E24/ $D$24, IF(INT(E24 / $D$24) = 0, MOD(E24, $D$24) &amp; " P", INT(E24 / $D$24) &amp; " + " &amp; MOD(E24, $D$24) &amp; " P")))</f>
        <v/>
      </c>
      <c r="F25" s="147" t="str">
        <f t="shared" si="6"/>
        <v/>
      </c>
      <c r="G25" s="147" t="str">
        <f t="shared" si="6"/>
        <v/>
      </c>
      <c r="H25" s="147" t="str">
        <f t="shared" si="6"/>
        <v/>
      </c>
      <c r="I25" s="147" t="str">
        <f t="shared" si="6"/>
        <v/>
      </c>
      <c r="J25" s="147" t="str">
        <f t="shared" si="6"/>
        <v/>
      </c>
      <c r="K25" s="147" t="str">
        <f t="shared" si="6"/>
        <v/>
      </c>
      <c r="L25" s="216"/>
      <c r="M25" s="201"/>
      <c r="N25" s="200"/>
      <c r="O25" s="86"/>
      <c r="P25" s="87"/>
      <c r="Q25" s="87"/>
      <c r="R25" s="88"/>
      <c r="S25" s="90"/>
    </row>
    <row r="26" spans="2:19" ht="55.95" customHeight="1" thickBot="1">
      <c r="B26" s="137">
        <v>8</v>
      </c>
      <c r="C26" s="134" t="s">
        <v>59</v>
      </c>
      <c r="D26" s="177">
        <v>36</v>
      </c>
      <c r="E26" s="145"/>
      <c r="F26" s="145"/>
      <c r="G26" s="145"/>
      <c r="H26" s="145"/>
      <c r="I26" s="145"/>
      <c r="J26" s="145"/>
      <c r="K26" s="145"/>
      <c r="L26" s="171">
        <f>SUM(E26:K26)</f>
        <v>0</v>
      </c>
      <c r="M26" s="173">
        <f>'บางบัวทอง-รถ'!C17</f>
        <v>0</v>
      </c>
      <c r="N26" s="200"/>
      <c r="O26" s="86"/>
      <c r="P26" s="87">
        <f>SUM(E26)</f>
        <v>0</v>
      </c>
      <c r="Q26" s="87">
        <f>SUM(F26:G26)</f>
        <v>0</v>
      </c>
      <c r="R26" s="88">
        <f>SUM(H26,I26)</f>
        <v>0</v>
      </c>
      <c r="S26" s="89">
        <f>SUM(J26:K26)</f>
        <v>0</v>
      </c>
    </row>
    <row r="27" spans="2:19" ht="55.95" customHeight="1" thickBot="1">
      <c r="B27" s="138"/>
      <c r="C27" s="140" t="s">
        <v>124</v>
      </c>
      <c r="D27" s="178"/>
      <c r="E27" s="147" t="str">
        <f t="shared" ref="E27:K27" si="7">IF(E26=0, "", IF(MOD(E26, $D$26) = 0, E26/ $D$26, IF(INT(E26 / $D$26) = 0, MOD(E26, $D$26) &amp; " P", INT(E26 / $D$26) &amp; " + " &amp; MOD(E26, $D$26) &amp; " P")))</f>
        <v/>
      </c>
      <c r="F27" s="147" t="str">
        <f t="shared" si="7"/>
        <v/>
      </c>
      <c r="G27" s="147" t="str">
        <f t="shared" si="7"/>
        <v/>
      </c>
      <c r="H27" s="147" t="str">
        <f t="shared" si="7"/>
        <v/>
      </c>
      <c r="I27" s="147" t="str">
        <f t="shared" si="7"/>
        <v/>
      </c>
      <c r="J27" s="147" t="str">
        <f t="shared" si="7"/>
        <v/>
      </c>
      <c r="K27" s="147" t="str">
        <f t="shared" si="7"/>
        <v/>
      </c>
      <c r="L27" s="172"/>
      <c r="M27" s="201"/>
      <c r="N27" s="200"/>
      <c r="O27" s="86"/>
      <c r="P27" s="87"/>
      <c r="Q27" s="87"/>
      <c r="R27" s="88"/>
      <c r="S27" s="90"/>
    </row>
    <row r="28" spans="2:19" ht="55.95" customHeight="1">
      <c r="B28" s="137">
        <v>9</v>
      </c>
      <c r="C28" s="132" t="s">
        <v>114</v>
      </c>
      <c r="D28" s="177">
        <v>20</v>
      </c>
      <c r="E28" s="150"/>
      <c r="F28" s="150"/>
      <c r="G28" s="145"/>
      <c r="H28" s="145"/>
      <c r="I28" s="145"/>
      <c r="J28" s="145"/>
      <c r="K28" s="145"/>
      <c r="L28" s="171">
        <f>SUM(E28:K28)</f>
        <v>0</v>
      </c>
      <c r="M28" s="173">
        <f>'บางบัวทอง-รถ'!C18</f>
        <v>0</v>
      </c>
      <c r="N28" s="217"/>
      <c r="O28" s="86"/>
      <c r="P28" s="87">
        <f>SUM(E28)</f>
        <v>0</v>
      </c>
      <c r="Q28" s="87">
        <f>SUM(F28:G28)</f>
        <v>0</v>
      </c>
      <c r="R28" s="88">
        <f>SUM(H28,I28)</f>
        <v>0</v>
      </c>
      <c r="S28" s="89">
        <f>SUM(J28:K28)</f>
        <v>0</v>
      </c>
    </row>
    <row r="29" spans="2:19" ht="55.95" customHeight="1" thickBot="1">
      <c r="B29" s="138"/>
      <c r="C29" s="140" t="s">
        <v>132</v>
      </c>
      <c r="D29" s="178"/>
      <c r="E29" s="151" t="str">
        <f t="shared" ref="E29:K29" si="8">IF(E28=0, "", IF(MOD(E28, $D$28) = 0, E28/ $D$28, IF(INT(E28 / $D$28) = 0, MOD(E28, $D$28) &amp; " P", INT(E28 / $D$28) &amp; " + " &amp; MOD(E28, $D$28) &amp; " P")))</f>
        <v/>
      </c>
      <c r="F29" s="151" t="str">
        <f t="shared" si="8"/>
        <v/>
      </c>
      <c r="G29" s="151" t="str">
        <f t="shared" si="8"/>
        <v/>
      </c>
      <c r="H29" s="151" t="str">
        <f t="shared" si="8"/>
        <v/>
      </c>
      <c r="I29" s="151" t="str">
        <f t="shared" si="8"/>
        <v/>
      </c>
      <c r="J29" s="151" t="str">
        <f t="shared" si="8"/>
        <v/>
      </c>
      <c r="K29" s="151" t="str">
        <f t="shared" si="8"/>
        <v/>
      </c>
      <c r="L29" s="172"/>
      <c r="M29" s="174"/>
      <c r="N29" s="218"/>
      <c r="O29" s="86"/>
      <c r="P29" s="87"/>
      <c r="Q29" s="87"/>
      <c r="R29" s="88"/>
      <c r="S29" s="89"/>
    </row>
    <row r="30" spans="2:19" ht="55.95" customHeight="1">
      <c r="B30" s="137">
        <v>10</v>
      </c>
      <c r="C30" s="132" t="s">
        <v>136</v>
      </c>
      <c r="D30" s="177">
        <v>15</v>
      </c>
      <c r="E30" s="152"/>
      <c r="F30" s="152"/>
      <c r="G30" s="152"/>
      <c r="H30" s="152"/>
      <c r="I30" s="152"/>
      <c r="J30" s="152"/>
      <c r="K30" s="152"/>
      <c r="L30" s="171">
        <f>SUM(E30:K30)</f>
        <v>0</v>
      </c>
      <c r="M30" s="173">
        <f>'บางบัวทอง-รถ'!C19</f>
        <v>0</v>
      </c>
      <c r="N30" s="98"/>
      <c r="O30" s="86"/>
      <c r="P30" s="91">
        <f>SUM(E30)</f>
        <v>0</v>
      </c>
      <c r="Q30" s="91">
        <f>SUM(F30:G30)</f>
        <v>0</v>
      </c>
      <c r="R30" s="92">
        <f>SUM(H30,I30)</f>
        <v>0</v>
      </c>
      <c r="S30" s="89">
        <f>SUM(J30:K30)</f>
        <v>0</v>
      </c>
    </row>
    <row r="31" spans="2:19" ht="55.95" customHeight="1" thickBot="1">
      <c r="B31" s="138"/>
      <c r="C31" s="140" t="s">
        <v>137</v>
      </c>
      <c r="D31" s="178"/>
      <c r="E31" s="153" t="str">
        <f t="shared" ref="E31:K31" si="9">IF(E30=0, "", IF(MOD(E30, $D$30) = 0, E30/ $D$30, IF(INT(E30 / $D$30) = 0, MOD(E30, $D$30) &amp; " P", INT(E30 / $D$30) &amp; " + " &amp; MOD(E30, $D$30) &amp; " P")))</f>
        <v/>
      </c>
      <c r="F31" s="153" t="str">
        <f t="shared" si="9"/>
        <v/>
      </c>
      <c r="G31" s="153" t="str">
        <f t="shared" si="9"/>
        <v/>
      </c>
      <c r="H31" s="153" t="str">
        <f t="shared" si="9"/>
        <v/>
      </c>
      <c r="I31" s="153" t="str">
        <f t="shared" si="9"/>
        <v/>
      </c>
      <c r="J31" s="153" t="str">
        <f t="shared" si="9"/>
        <v/>
      </c>
      <c r="K31" s="153" t="str">
        <f t="shared" si="9"/>
        <v/>
      </c>
      <c r="L31" s="172"/>
      <c r="M31" s="174"/>
      <c r="N31" s="99"/>
      <c r="O31" s="86"/>
      <c r="P31" s="87"/>
      <c r="Q31" s="91"/>
      <c r="R31" s="92"/>
      <c r="S31" s="89"/>
    </row>
    <row r="32" spans="2:19" ht="55.95" customHeight="1">
      <c r="B32" s="137">
        <v>11</v>
      </c>
      <c r="C32" s="134" t="s">
        <v>61</v>
      </c>
      <c r="D32" s="177">
        <v>45</v>
      </c>
      <c r="E32" s="152"/>
      <c r="F32" s="152"/>
      <c r="G32" s="148"/>
      <c r="H32" s="148"/>
      <c r="I32" s="148"/>
      <c r="J32" s="148"/>
      <c r="K32" s="148"/>
      <c r="L32" s="171">
        <f>SUM(E32:K32)</f>
        <v>0</v>
      </c>
      <c r="M32" s="173">
        <f>'บางบัวทอง-รถ'!C20</f>
        <v>0</v>
      </c>
      <c r="N32" s="217"/>
      <c r="O32" s="86"/>
      <c r="P32" s="91">
        <f>SUM(E32)</f>
        <v>0</v>
      </c>
      <c r="Q32" s="91">
        <f>SUM(F32:G32)</f>
        <v>0</v>
      </c>
      <c r="R32" s="92">
        <f>SUM(H32,I32)</f>
        <v>0</v>
      </c>
      <c r="S32" s="89">
        <f>SUM(J32:K32)</f>
        <v>0</v>
      </c>
    </row>
    <row r="33" spans="2:19" ht="55.95" customHeight="1" thickBot="1">
      <c r="B33" s="138"/>
      <c r="C33" s="140" t="s">
        <v>125</v>
      </c>
      <c r="D33" s="178"/>
      <c r="E33" s="154" t="str">
        <f t="shared" ref="E33:K33" si="10">IF(E32=0, "", IF(MOD(E32, $D$32) = 0, E32/ $D$32, IF(INT(E32 / $D$32) = 0, MOD(E32, $D$32) &amp; " P", INT(E32 / $D$32) &amp; " + " &amp; MOD(E32, $D$32) &amp; " P")))</f>
        <v/>
      </c>
      <c r="F33" s="154" t="str">
        <f t="shared" si="10"/>
        <v/>
      </c>
      <c r="G33" s="154" t="str">
        <f t="shared" si="10"/>
        <v/>
      </c>
      <c r="H33" s="154" t="str">
        <f t="shared" si="10"/>
        <v/>
      </c>
      <c r="I33" s="154" t="str">
        <f t="shared" si="10"/>
        <v/>
      </c>
      <c r="J33" s="154" t="str">
        <f t="shared" si="10"/>
        <v/>
      </c>
      <c r="K33" s="154" t="str">
        <f t="shared" si="10"/>
        <v/>
      </c>
      <c r="L33" s="172"/>
      <c r="M33" s="174"/>
      <c r="N33" s="218"/>
      <c r="O33" s="86"/>
      <c r="P33" s="87"/>
      <c r="Q33" s="87"/>
      <c r="R33" s="88"/>
      <c r="S33" s="89"/>
    </row>
    <row r="34" spans="2:19" ht="55.95" customHeight="1">
      <c r="B34" s="137">
        <v>12</v>
      </c>
      <c r="C34" s="135" t="s">
        <v>141</v>
      </c>
      <c r="D34" s="179">
        <v>15</v>
      </c>
      <c r="E34" s="152"/>
      <c r="F34" s="152"/>
      <c r="G34" s="148"/>
      <c r="H34" s="148"/>
      <c r="I34" s="148"/>
      <c r="J34" s="148"/>
      <c r="K34" s="148"/>
      <c r="L34" s="171">
        <f>SUM(E34:K34)</f>
        <v>0</v>
      </c>
      <c r="M34" s="173">
        <f>'บางบัวทอง-รถ'!C21</f>
        <v>0</v>
      </c>
      <c r="N34" s="217"/>
      <c r="O34" s="86"/>
      <c r="P34" s="91">
        <f>SUM(E34)</f>
        <v>0</v>
      </c>
      <c r="Q34" s="91">
        <f>SUM(F34:G34)</f>
        <v>0</v>
      </c>
      <c r="R34" s="92">
        <f>SUM(H34,I34)</f>
        <v>0</v>
      </c>
      <c r="S34" s="89">
        <f>SUM(J34:K34)</f>
        <v>0</v>
      </c>
    </row>
    <row r="35" spans="2:19" ht="55.95" customHeight="1" thickBot="1">
      <c r="B35" s="138"/>
      <c r="C35" s="140" t="s">
        <v>144</v>
      </c>
      <c r="D35" s="180"/>
      <c r="E35" s="154" t="str">
        <f>IF(E34=0, "", IF(MOD(E34, $D$34) = 0, E34/ $D$34, IF(INT(E34 / $D$34) = 0, MOD(E34, $D$34) &amp; " P", INT(E34 / $D$34) &amp; " + " &amp; MOD(E34, $D$34) &amp; " P")))</f>
        <v/>
      </c>
      <c r="F35" s="154" t="str">
        <f t="shared" ref="F35:K35" si="11">IF(F34=0, "", IF(MOD(F34, $D$34) = 0, F34/ $D$34, IF(INT(F34 / $D$34) = 0, MOD(F34, $D$34) &amp; " P", INT(F34 / $D$34) &amp; " + " &amp; MOD(F34, $D$34) &amp; " P")))</f>
        <v/>
      </c>
      <c r="G35" s="154" t="str">
        <f t="shared" si="11"/>
        <v/>
      </c>
      <c r="H35" s="154" t="str">
        <f t="shared" si="11"/>
        <v/>
      </c>
      <c r="I35" s="154" t="str">
        <f t="shared" si="11"/>
        <v/>
      </c>
      <c r="J35" s="154" t="str">
        <f t="shared" si="11"/>
        <v/>
      </c>
      <c r="K35" s="154" t="str">
        <f t="shared" si="11"/>
        <v/>
      </c>
      <c r="L35" s="172"/>
      <c r="M35" s="174"/>
      <c r="N35" s="218"/>
      <c r="O35" s="86"/>
      <c r="P35" s="87"/>
      <c r="Q35" s="87"/>
      <c r="R35" s="88"/>
      <c r="S35" s="89"/>
    </row>
    <row r="36" spans="2:19" ht="55.95" customHeight="1">
      <c r="B36" s="137">
        <v>13</v>
      </c>
      <c r="C36" s="134" t="s">
        <v>153</v>
      </c>
      <c r="D36" s="177">
        <v>27</v>
      </c>
      <c r="E36" s="152"/>
      <c r="F36" s="152"/>
      <c r="G36" s="152"/>
      <c r="H36" s="152"/>
      <c r="I36" s="152"/>
      <c r="J36" s="152"/>
      <c r="K36" s="152"/>
      <c r="L36" s="171">
        <f>SUM(E36:K36)</f>
        <v>0</v>
      </c>
      <c r="M36" s="173">
        <f>'บางบัวทอง-รถ'!C22</f>
        <v>0</v>
      </c>
      <c r="N36" s="217"/>
      <c r="O36" s="86"/>
      <c r="P36" s="87">
        <f>SUM(E36)</f>
        <v>0</v>
      </c>
      <c r="Q36" s="91">
        <f>SUM(F36:G36)</f>
        <v>0</v>
      </c>
      <c r="R36" s="92">
        <f>SUM(H36,I36)</f>
        <v>0</v>
      </c>
      <c r="S36" s="89">
        <f>SUM(J36:K36)</f>
        <v>0</v>
      </c>
    </row>
    <row r="37" spans="2:19" ht="55.95" customHeight="1" thickBot="1">
      <c r="B37" s="138"/>
      <c r="C37" s="157" t="s">
        <v>155</v>
      </c>
      <c r="D37" s="178"/>
      <c r="E37" s="154" t="str">
        <f>IF(E36=0, "", IF(MOD(E36, $D$36) = 0, E36/ $D$36, IF(INT(E36 / $D$36) = 0, MOD(E36, $D$36) &amp; " P", INT(E36 / $D$36) &amp; " + " &amp; MOD(E36, $D$36) &amp; " P")))</f>
        <v/>
      </c>
      <c r="F37" s="154" t="str">
        <f>IF(F36=0, "", IF(MOD(F36, $D$36) = 0, F36/ $D$36, IF(INT(F36 / $D$36) = 0, MOD(F36, $D$36) &amp; " P", INT(F36 / $D$36) &amp; " + " &amp; MOD(F36, $D$36) &amp; " P")))</f>
        <v/>
      </c>
      <c r="G37" s="154" t="str">
        <f>IF(G36=0, "", IF(MOD(G36, $D$36) = 0, G36/ $D$36, IF(INT(G36 / $D$36) = 0, MOD(G36, $D$36) &amp; " P", INT(G36 / $D$36) &amp; " + " &amp; MOD(G36, $D$36) &amp; " P")))</f>
        <v/>
      </c>
      <c r="H37" s="154" t="str">
        <f t="shared" ref="H37:K37" si="12">IF(H36=0, "", IF(MOD(H36, $D$36) = 0, H36/ $D$36, IF(INT(H36 / $D$36) = 0, MOD(H36, $D$36) &amp; " P", INT(H36 / $D$36) &amp; " + " &amp; MOD(H36, $D$36) &amp; " P")))</f>
        <v/>
      </c>
      <c r="I37" s="154" t="str">
        <f t="shared" si="12"/>
        <v/>
      </c>
      <c r="J37" s="154" t="str">
        <f t="shared" si="12"/>
        <v/>
      </c>
      <c r="K37" s="154" t="str">
        <f t="shared" si="12"/>
        <v/>
      </c>
      <c r="L37" s="172"/>
      <c r="M37" s="174"/>
      <c r="N37" s="218"/>
      <c r="O37" s="86"/>
      <c r="P37" s="87"/>
      <c r="Q37" s="91"/>
      <c r="R37" s="92"/>
      <c r="S37" s="89"/>
    </row>
    <row r="38" spans="2:19" ht="55.95" customHeight="1">
      <c r="B38" s="137">
        <v>14</v>
      </c>
      <c r="C38" s="158" t="s">
        <v>135</v>
      </c>
      <c r="D38" s="177">
        <v>15</v>
      </c>
      <c r="E38" s="152"/>
      <c r="F38" s="152"/>
      <c r="G38" s="152"/>
      <c r="H38" s="152"/>
      <c r="I38" s="152"/>
      <c r="J38" s="152"/>
      <c r="K38" s="152"/>
      <c r="L38" s="171">
        <f>SUM(E38:K38)</f>
        <v>0</v>
      </c>
      <c r="M38" s="173">
        <f>'บางบัวทอง-รถ'!C23</f>
        <v>0</v>
      </c>
      <c r="N38" s="217"/>
      <c r="O38" s="86"/>
      <c r="P38" s="87">
        <f t="shared" ref="P38" si="13">SUM(E38)</f>
        <v>0</v>
      </c>
      <c r="Q38" s="91">
        <f t="shared" ref="Q38" si="14">SUM(F38:G38)</f>
        <v>0</v>
      </c>
      <c r="R38" s="92">
        <f t="shared" ref="R38" si="15">SUM(H38,I38)</f>
        <v>0</v>
      </c>
      <c r="S38" s="89">
        <f t="shared" ref="S38" si="16">SUM(J38:K38)</f>
        <v>0</v>
      </c>
    </row>
    <row r="39" spans="2:19" ht="55.95" customHeight="1" thickBot="1">
      <c r="B39" s="138"/>
      <c r="C39" s="140" t="s">
        <v>154</v>
      </c>
      <c r="D39" s="178"/>
      <c r="E39" s="154" t="str">
        <f>IF(E38=0, "", IF(MOD(E38, $D$38) = 0, E38/ $D$38, IF(INT(E38 / $D$38) = 0, MOD(E38, $D$38) &amp; " P", INT(E38 / $D$38) &amp; " + " &amp; MOD(E38, $D$38) &amp; " P")))</f>
        <v/>
      </c>
      <c r="F39" s="154" t="str">
        <f t="shared" ref="F39:K39" si="17">IF(F38=0, "", IF(MOD(F38, $D$38) = 0, F38/ $D$38, IF(INT(F38 / $D$38) = 0, MOD(F38, $D$38) &amp; " P", INT(F38 / $D$38) &amp; " + " &amp; MOD(F38, $D$38) &amp; " P")))</f>
        <v/>
      </c>
      <c r="G39" s="154" t="str">
        <f t="shared" si="17"/>
        <v/>
      </c>
      <c r="H39" s="154" t="str">
        <f t="shared" si="17"/>
        <v/>
      </c>
      <c r="I39" s="154" t="str">
        <f t="shared" si="17"/>
        <v/>
      </c>
      <c r="J39" s="154" t="str">
        <f t="shared" si="17"/>
        <v/>
      </c>
      <c r="K39" s="154" t="str">
        <f t="shared" si="17"/>
        <v/>
      </c>
      <c r="L39" s="172"/>
      <c r="M39" s="174"/>
      <c r="N39" s="218"/>
      <c r="O39" s="86"/>
      <c r="P39" s="87"/>
      <c r="Q39" s="91"/>
      <c r="R39" s="92"/>
      <c r="S39" s="89"/>
    </row>
    <row r="40" spans="2:19" ht="55.95" customHeight="1">
      <c r="B40" s="137">
        <v>15</v>
      </c>
      <c r="C40" s="134" t="s">
        <v>139</v>
      </c>
      <c r="D40" s="177">
        <v>27</v>
      </c>
      <c r="E40" s="152"/>
      <c r="F40" s="152"/>
      <c r="G40" s="152"/>
      <c r="H40" s="152"/>
      <c r="I40" s="152"/>
      <c r="J40" s="152"/>
      <c r="K40" s="152"/>
      <c r="L40" s="171">
        <f>SUM(E40:K40)</f>
        <v>0</v>
      </c>
      <c r="M40" s="173">
        <f>'บางบัวทอง-รถ'!C24</f>
        <v>0</v>
      </c>
      <c r="N40" s="98"/>
      <c r="O40" s="86"/>
      <c r="P40" s="87">
        <f>SUM(E40)</f>
        <v>0</v>
      </c>
      <c r="Q40" s="91">
        <f>SUM(F40:G40)</f>
        <v>0</v>
      </c>
      <c r="R40" s="92">
        <f>SUM(H40,I40)</f>
        <v>0</v>
      </c>
      <c r="S40" s="89">
        <f>SUM(J40:K40)</f>
        <v>0</v>
      </c>
    </row>
    <row r="41" spans="2:19" ht="55.95" customHeight="1" thickBot="1">
      <c r="B41" s="138"/>
      <c r="C41" s="140" t="s">
        <v>140</v>
      </c>
      <c r="D41" s="178"/>
      <c r="E41" s="153" t="str">
        <f t="shared" ref="E41:K41" si="18">IF(E40=0, "", IF(MOD(E40, $D$40) = 0, E40/ $D$40, IF(INT(E40 / $D$40) = 0, MOD(E40, $D$40) &amp; " P", INT(E40 / $D$40) &amp; " + " &amp; MOD(E40, $D$40) &amp; " P")))</f>
        <v/>
      </c>
      <c r="F41" s="153" t="str">
        <f t="shared" si="18"/>
        <v/>
      </c>
      <c r="G41" s="153" t="str">
        <f t="shared" si="18"/>
        <v/>
      </c>
      <c r="H41" s="153" t="str">
        <f t="shared" si="18"/>
        <v/>
      </c>
      <c r="I41" s="153" t="str">
        <f t="shared" si="18"/>
        <v/>
      </c>
      <c r="J41" s="153" t="str">
        <f t="shared" si="18"/>
        <v/>
      </c>
      <c r="K41" s="153" t="str">
        <f t="shared" si="18"/>
        <v/>
      </c>
      <c r="L41" s="172"/>
      <c r="M41" s="174"/>
      <c r="N41" s="99"/>
      <c r="O41" s="86"/>
      <c r="P41" s="87"/>
      <c r="Q41" s="91"/>
      <c r="R41" s="92"/>
      <c r="S41" s="89"/>
    </row>
    <row r="42" spans="2:19" ht="55.95" customHeight="1">
      <c r="B42" s="137">
        <v>16</v>
      </c>
      <c r="C42" s="134" t="s">
        <v>62</v>
      </c>
      <c r="D42" s="177">
        <v>20</v>
      </c>
      <c r="E42" s="152"/>
      <c r="F42" s="152"/>
      <c r="G42" s="152"/>
      <c r="H42" s="152"/>
      <c r="I42" s="152"/>
      <c r="J42" s="152"/>
      <c r="K42" s="152"/>
      <c r="L42" s="171">
        <f>SUM(E42:K42)</f>
        <v>0</v>
      </c>
      <c r="M42" s="173">
        <f>'บางบัวทอง-รถ'!C25</f>
        <v>0</v>
      </c>
      <c r="N42" s="98"/>
      <c r="O42" s="86"/>
      <c r="P42" s="87">
        <f>SUM(E42)</f>
        <v>0</v>
      </c>
      <c r="Q42" s="91">
        <f>SUM(F42:G42)</f>
        <v>0</v>
      </c>
      <c r="R42" s="92">
        <f>SUM(H42,I42)</f>
        <v>0</v>
      </c>
      <c r="S42" s="89">
        <f>SUM(J42:K42)</f>
        <v>0</v>
      </c>
    </row>
    <row r="43" spans="2:19" ht="55.95" customHeight="1" thickBot="1">
      <c r="B43" s="138"/>
      <c r="C43" s="140" t="s">
        <v>127</v>
      </c>
      <c r="D43" s="178"/>
      <c r="E43" s="153" t="str">
        <f t="shared" ref="E43:K43" si="19">IF(E42=0, "", IF(MOD(E42, $D$42) = 0, E42/ $D$42, IF(INT(E42 / $D$42) = 0, MOD(E42, $D$42) &amp; " P", INT(E42 / $D$42) &amp; " + " &amp; MOD(E42, $D$42) &amp; " P")))</f>
        <v/>
      </c>
      <c r="F43" s="153" t="str">
        <f t="shared" si="19"/>
        <v/>
      </c>
      <c r="G43" s="153" t="str">
        <f t="shared" si="19"/>
        <v/>
      </c>
      <c r="H43" s="153" t="str">
        <f t="shared" si="19"/>
        <v/>
      </c>
      <c r="I43" s="153" t="str">
        <f t="shared" si="19"/>
        <v/>
      </c>
      <c r="J43" s="153" t="str">
        <f t="shared" si="19"/>
        <v/>
      </c>
      <c r="K43" s="153" t="str">
        <f t="shared" si="19"/>
        <v/>
      </c>
      <c r="L43" s="172"/>
      <c r="M43" s="174"/>
      <c r="N43" s="99"/>
      <c r="O43" s="86"/>
      <c r="P43" s="87"/>
      <c r="Q43" s="91"/>
      <c r="R43" s="92"/>
      <c r="S43" s="89"/>
    </row>
    <row r="44" spans="2:19" ht="55.95" customHeight="1">
      <c r="B44" s="137">
        <v>17</v>
      </c>
      <c r="C44" s="133" t="s">
        <v>63</v>
      </c>
      <c r="D44" s="177">
        <v>32</v>
      </c>
      <c r="E44" s="152"/>
      <c r="F44" s="152"/>
      <c r="G44" s="152"/>
      <c r="H44" s="152"/>
      <c r="I44" s="152"/>
      <c r="J44" s="152"/>
      <c r="K44" s="152"/>
      <c r="L44" s="175">
        <f>SUM(E44:K44)</f>
        <v>0</v>
      </c>
      <c r="M44" s="173">
        <f>'บางบัวทอง-รถ'!C26</f>
        <v>0</v>
      </c>
      <c r="N44" s="98"/>
      <c r="O44" s="86"/>
      <c r="P44" s="91">
        <f>SUM(E44)</f>
        <v>0</v>
      </c>
      <c r="Q44" s="91">
        <f>SUM(F44:G44)</f>
        <v>0</v>
      </c>
      <c r="R44" s="92">
        <f>SUM(H44,I44)</f>
        <v>0</v>
      </c>
      <c r="S44" s="89">
        <f>SUM(J44:K44)</f>
        <v>0</v>
      </c>
    </row>
    <row r="45" spans="2:19" ht="55.95" customHeight="1" thickBot="1">
      <c r="B45" s="138"/>
      <c r="C45" s="140" t="s">
        <v>126</v>
      </c>
      <c r="D45" s="178"/>
      <c r="E45" s="153" t="str">
        <f t="shared" ref="E45:K45" si="20">IF(E44=0, "", IF(MOD(E44, $D$44) = 0, E44/ $D$44, IF(INT(E44 / $D$44) = 0, MOD(E44, $D$44) &amp; " P", INT(E44 / $D$44) &amp; " + " &amp; MOD(E44, $D$44) &amp; " P")))</f>
        <v/>
      </c>
      <c r="F45" s="153" t="str">
        <f t="shared" si="20"/>
        <v/>
      </c>
      <c r="G45" s="153" t="str">
        <f t="shared" si="20"/>
        <v/>
      </c>
      <c r="H45" s="153" t="str">
        <f t="shared" si="20"/>
        <v/>
      </c>
      <c r="I45" s="153" t="str">
        <f t="shared" si="20"/>
        <v/>
      </c>
      <c r="J45" s="153" t="str">
        <f t="shared" si="20"/>
        <v/>
      </c>
      <c r="K45" s="153" t="str">
        <f t="shared" si="20"/>
        <v/>
      </c>
      <c r="L45" s="176"/>
      <c r="M45" s="174"/>
      <c r="N45" s="99"/>
      <c r="O45" s="86"/>
      <c r="P45" s="87"/>
      <c r="Q45" s="91"/>
      <c r="R45" s="92"/>
      <c r="S45" s="89"/>
    </row>
    <row r="46" spans="2:19" ht="55.95" customHeight="1">
      <c r="B46" s="137">
        <v>18</v>
      </c>
      <c r="C46" s="132" t="s">
        <v>112</v>
      </c>
      <c r="D46" s="177">
        <v>15</v>
      </c>
      <c r="E46" s="152"/>
      <c r="F46" s="152"/>
      <c r="G46" s="152"/>
      <c r="H46" s="152"/>
      <c r="I46" s="152"/>
      <c r="J46" s="152"/>
      <c r="K46" s="152"/>
      <c r="L46" s="175">
        <f>SUM(E46:K46)</f>
        <v>0</v>
      </c>
      <c r="M46" s="173">
        <f>'บางบัวทอง-รถ'!C27</f>
        <v>0</v>
      </c>
      <c r="N46" s="98"/>
      <c r="O46" s="86"/>
      <c r="P46" s="87">
        <f>SUM(E46)</f>
        <v>0</v>
      </c>
      <c r="Q46" s="91">
        <f>SUM(F46:G46)</f>
        <v>0</v>
      </c>
      <c r="R46" s="92">
        <f>SUM(H46,I46)</f>
        <v>0</v>
      </c>
      <c r="S46" s="130">
        <f>SUM(J46:K46)</f>
        <v>0</v>
      </c>
    </row>
    <row r="47" spans="2:19" ht="55.95" customHeight="1" thickBot="1">
      <c r="B47" s="138"/>
      <c r="C47" s="140" t="s">
        <v>128</v>
      </c>
      <c r="D47" s="178"/>
      <c r="E47" s="153" t="str">
        <f t="shared" ref="E47:K47" si="21">IF(E46=0, "", IF(MOD(E46, $D$46) = 0, E46/ $D$46, IF(INT(E46 / $D$46) = 0, MOD(E46, $D$46) &amp; " P", INT(E46 / $D$46) &amp; " + " &amp; MOD(E46, $D$46) &amp; " P")))</f>
        <v/>
      </c>
      <c r="F47" s="153" t="str">
        <f t="shared" si="21"/>
        <v/>
      </c>
      <c r="G47" s="153" t="str">
        <f t="shared" si="21"/>
        <v/>
      </c>
      <c r="H47" s="153" t="str">
        <f t="shared" si="21"/>
        <v/>
      </c>
      <c r="I47" s="153" t="str">
        <f t="shared" si="21"/>
        <v/>
      </c>
      <c r="J47" s="153" t="str">
        <f t="shared" si="21"/>
        <v/>
      </c>
      <c r="K47" s="153" t="str">
        <f t="shared" si="21"/>
        <v/>
      </c>
      <c r="L47" s="176"/>
      <c r="M47" s="174"/>
      <c r="N47" s="99"/>
      <c r="O47" s="86"/>
      <c r="P47" s="87"/>
      <c r="Q47" s="91"/>
      <c r="R47" s="92"/>
      <c r="S47" s="89"/>
    </row>
    <row r="48" spans="2:19" ht="55.95" customHeight="1">
      <c r="B48" s="137">
        <v>19</v>
      </c>
      <c r="C48" s="132" t="s">
        <v>151</v>
      </c>
      <c r="D48" s="177">
        <v>8</v>
      </c>
      <c r="E48" s="152"/>
      <c r="F48" s="152"/>
      <c r="G48" s="152"/>
      <c r="H48" s="152"/>
      <c r="I48" s="152"/>
      <c r="J48" s="152"/>
      <c r="K48" s="152"/>
      <c r="L48" s="175">
        <f>SUM(E48:K48)</f>
        <v>0</v>
      </c>
      <c r="M48" s="173">
        <f>'บางบัวทอง-รถ'!C28</f>
        <v>0</v>
      </c>
      <c r="N48" s="98"/>
      <c r="O48" s="86"/>
      <c r="P48" s="87">
        <f>SUM(E48)</f>
        <v>0</v>
      </c>
      <c r="Q48" s="91">
        <f>SUM(F48:G48)</f>
        <v>0</v>
      </c>
      <c r="R48" s="92">
        <f>SUM(H48,I48)</f>
        <v>0</v>
      </c>
      <c r="S48" s="130">
        <f>SUM(J48:K48)</f>
        <v>0</v>
      </c>
    </row>
    <row r="49" spans="2:19" ht="55.95" customHeight="1" thickBot="1">
      <c r="B49" s="138"/>
      <c r="C49" s="140" t="s">
        <v>150</v>
      </c>
      <c r="D49" s="178"/>
      <c r="E49" s="153" t="str">
        <f>IF(E48=0, "", IF(MOD(E48, $D$48) = 0, E48/ $D$48, IF(INT(E48 / $D$48) = 0, MOD(E48, $D$48) &amp; " P", INT(E48 / $D$48) &amp; " + " &amp; MOD(E48, $D$48) &amp; " P")))</f>
        <v/>
      </c>
      <c r="F49" s="153" t="str">
        <f t="shared" ref="F49:K49" si="22">IF(F48=0, "", IF(MOD(F48, $D$48) = 0, F48/ $D$48, IF(INT(F48 / $D$48) = 0, MOD(F48, $D$48) &amp; " P", INT(F48 / $D$48) &amp; " + " &amp; MOD(F48, $D$48) &amp; " P")))</f>
        <v/>
      </c>
      <c r="G49" s="153" t="str">
        <f t="shared" si="22"/>
        <v/>
      </c>
      <c r="H49" s="153" t="str">
        <f t="shared" si="22"/>
        <v/>
      </c>
      <c r="I49" s="153" t="str">
        <f t="shared" si="22"/>
        <v/>
      </c>
      <c r="J49" s="153" t="str">
        <f t="shared" si="22"/>
        <v/>
      </c>
      <c r="K49" s="153" t="str">
        <f t="shared" si="22"/>
        <v/>
      </c>
      <c r="L49" s="176"/>
      <c r="M49" s="174"/>
      <c r="N49" s="99"/>
      <c r="O49" s="86"/>
      <c r="P49" s="87"/>
      <c r="Q49" s="91"/>
      <c r="R49" s="92"/>
      <c r="S49" s="89"/>
    </row>
    <row r="50" spans="2:19" ht="67.95" customHeight="1" thickBot="1">
      <c r="B50" s="93"/>
      <c r="C50" s="159" t="s">
        <v>86</v>
      </c>
      <c r="D50" s="160"/>
      <c r="E50" s="315">
        <f>-SUM(ROUNDUP(E12/$D$12,0), ROUNDUP(E14/$D$14,0), ROUNDUP(E16/$D$16,0), ROUNDUP(E18/$D$18,0), ROUNDUP(E20/$D$20,0), ROUNDUP(E22/$D$22,0), ROUNDUP(E24/$D$24,0), ROUNDUP(E26/$D$26,0), ROUNDUP(E28/$D$28,0), ROUNDUP(E30/$D$30,0), ROUNDUP(E32/$D$32,0), ROUNDUP(E34/$D$34,0), ROUNDUP(E36/$D$36,0), ROUNDUP(E38/$D$38,0), ROUNDUP(E40/$D$40,0), ROUNDUP(E42/$D$42,0), ROUNDUP(E44/$D$44,0), ROUNDUP(E46/$D$46,0), ROUNDUP(E48/$D$48,0))</f>
        <v>0</v>
      </c>
      <c r="F50" s="315">
        <f>-SUM(ROUNDUP(F12/$D$12,0), ROUNDUP(F14/$D$14,0), ROUNDUP(F16/$D$16,0), ROUNDUP(F18/$D$18,0), ROUNDUP(F20/$D$20,0), ROUNDUP(F22/$D$22,0), ROUNDUP(F24/$D$24,0), ROUNDUP(F26/$D$26,0), ROUNDUP(F28/$D$28,0), ROUNDUP(F30/$D$30,0), ROUNDUP(F32/$D$32,0), ROUNDUP(F34/$D$34,0), ROUNDUP(F36/$D$36,0), ROUNDUP(F38/$D$38,0), ROUNDUP(F40/$D$40,0), ROUNDUP(F42/$D$42,0), ROUNDUP(F44/$D$44,0), ROUNDUP(F46/$D$46,0), ROUNDUP(F48/$D$48,0))</f>
        <v>0</v>
      </c>
      <c r="G50" s="315">
        <f>-SUM(ROUNDUP(G12/$D$12,0), ROUNDUP(G14/$D$14,0), ROUNDUP(G16/$D$16,0), ROUNDUP(G18/$D$18,0), ROUNDUP(G20/$D$20,0), ROUNDUP(G22/$D$22,0), ROUNDUP(G24/$D$24,0), ROUNDUP(G26/$D$26,0), ROUNDUP(G28/$D$28,0), ROUNDUP(G30/$D$30,0), ROUNDUP(G32/$D$32,0), ROUNDUP(G34/$D$34,0), ROUNDUP(G36/$D$36,0), ROUNDUP(G38/$D$38,0), ROUNDUP(G40/$D$40,0), ROUNDUP(G42/$D$42,0), ROUNDUP(G44/$D$44,0), ROUNDUP(G46/$D$46,0), ROUNDUP(G48/$D$48,0))</f>
        <v>0</v>
      </c>
      <c r="H50" s="315">
        <f t="shared" ref="F50:K50" si="23">-SUM(ROUNDUP(H12/$D$12,0), ROUNDUP(H14/$D$14,0), ROUNDUP(H16/$D$16,0), ROUNDUP(H18/$D$18,0), ROUNDUP(H20/$D$20,0), ROUNDUP(H22/$D$22,0), ROUNDUP(H24/$D$24,0), ROUNDUP(H26/$D$26,0), ROUNDUP(H28/$D$28,0), ROUNDUP(H30/$D$30,0), ROUNDUP(H32/$D$32,0), ROUNDUP(H34/$D$34,0), ROUNDUP(H36/$D$36,0), ROUNDUP(H38/$D$38,0), ROUNDUP(H40/$D$40,0), ROUNDUP(H42/$D$42,0), ROUNDUP(H44/$D$44,0), ROUNDUP(H46/$D$46,0), ROUNDUP(H48/$D$48,0))</f>
        <v>0</v>
      </c>
      <c r="I50" s="315">
        <f t="shared" si="23"/>
        <v>0</v>
      </c>
      <c r="J50" s="315">
        <f>-SUM(ROUNDUP(J12/$D$12,0), ROUNDUP(J14/$D$14,0), ROUNDUP(J16/$D$16,0), ROUNDUP(J18/$D$18,0), ROUNDUP(J20/$D$20,0), ROUNDUP(J22/$D$22,0), ROUNDUP(J24/$D$24,0), ROUNDUP(J26/$D$26,0), ROUNDUP(J28/$D$28,0), ROUNDUP(J30/$D$30,0), ROUNDUP(J32/$D$32,0), ROUNDUP(J34/$D$34,0), ROUNDUP(J36/$D$36,0), ROUNDUP(J38/$D$38,0), ROUNDUP(J40/$D$40,0), ROUNDUP(J42/$D$42,0), ROUNDUP(J44/$D$44,0), ROUNDUP(J46/$D$46,0), ROUNDUP(J48/$D$48,0))</f>
        <v>0</v>
      </c>
      <c r="K50" s="315">
        <f>-SUM(ROUNDUP(K12/$D$12,0), ROUNDUP(K14/$D$14,0), ROUNDUP(K16/$D$16,0), ROUNDUP(K18/$D$18,0), ROUNDUP(K20/$D$20,0), ROUNDUP(K22/$D$22,0), ROUNDUP(K24/$D$24,0), ROUNDUP(K26/$D$26,0), ROUNDUP(K28/$D$28,0), ROUNDUP(K30/$D$30,0), ROUNDUP(K32/$D$32,0), ROUNDUP(K34/$D$34,0), ROUNDUP(K36/$D$36,0), ROUNDUP(K38/$D$38,0), ROUNDUP(K40/$D$40,0), ROUNDUP(K42/$D$42,0), ROUNDUP(K44/$D$44,0), ROUNDUP(K46/$D$46,0), ROUNDUP(K48/$D$48,0))</f>
        <v>0</v>
      </c>
      <c r="L50" s="119" t="s">
        <v>88</v>
      </c>
      <c r="M50" s="120">
        <f>SUM(M12:M49)</f>
        <v>0</v>
      </c>
      <c r="N50" s="93"/>
      <c r="O50" s="86"/>
      <c r="P50" s="87"/>
      <c r="Q50" s="94"/>
      <c r="R50" s="95"/>
      <c r="S50" s="96"/>
    </row>
    <row r="51" spans="2:19" ht="11.4" customHeight="1" thickBot="1">
      <c r="J51" s="75" t="s">
        <v>109</v>
      </c>
    </row>
    <row r="52" spans="2:19" ht="58.95" customHeight="1" thickBot="1">
      <c r="C52" s="110" t="s">
        <v>45</v>
      </c>
      <c r="D52" s="165" t="s">
        <v>49</v>
      </c>
      <c r="E52" s="166"/>
      <c r="F52" s="100" t="s">
        <v>50</v>
      </c>
      <c r="G52" s="100" t="s">
        <v>78</v>
      </c>
      <c r="H52" s="102"/>
      <c r="I52" s="82" t="s">
        <v>131</v>
      </c>
      <c r="J52" s="82"/>
      <c r="K52" s="97"/>
      <c r="L52" s="103">
        <f>SUM(M50)</f>
        <v>0</v>
      </c>
      <c r="M52" s="82" t="s">
        <v>110</v>
      </c>
    </row>
    <row r="53" spans="2:19" ht="48" customHeight="1" thickBot="1">
      <c r="C53" s="123" t="s">
        <v>79</v>
      </c>
      <c r="D53" s="167"/>
      <c r="E53" s="168"/>
      <c r="F53" s="113"/>
      <c r="G53" s="114"/>
      <c r="I53" s="169" t="s">
        <v>80</v>
      </c>
      <c r="J53" s="169"/>
      <c r="K53" s="169"/>
      <c r="L53" s="169"/>
    </row>
    <row r="54" spans="2:19" ht="48" customHeight="1" thickBot="1">
      <c r="C54" s="124" t="s">
        <v>81</v>
      </c>
      <c r="D54" s="161"/>
      <c r="E54" s="162"/>
      <c r="F54" s="115"/>
      <c r="G54" s="116"/>
      <c r="I54" s="85"/>
      <c r="J54" s="81" t="s">
        <v>82</v>
      </c>
      <c r="K54" s="83" t="s">
        <v>55</v>
      </c>
    </row>
    <row r="55" spans="2:19" ht="48" customHeight="1" thickBot="1">
      <c r="C55" s="125" t="s">
        <v>83</v>
      </c>
      <c r="D55" s="163"/>
      <c r="E55" s="164"/>
      <c r="F55" s="117"/>
      <c r="G55" s="118"/>
      <c r="I55" s="85"/>
      <c r="J55" s="81"/>
      <c r="K55" s="83"/>
    </row>
    <row r="56" spans="2:19" ht="15" customHeight="1">
      <c r="H56" s="170" t="s">
        <v>138</v>
      </c>
      <c r="I56" s="170"/>
    </row>
    <row r="57" spans="2:19" ht="35.4" customHeight="1">
      <c r="H57" s="170"/>
      <c r="I57" s="170"/>
      <c r="J57" s="155"/>
      <c r="K57" s="156"/>
      <c r="L57" s="155"/>
    </row>
  </sheetData>
  <mergeCells count="96">
    <mergeCell ref="M34:M35"/>
    <mergeCell ref="M28:M29"/>
    <mergeCell ref="M30:M31"/>
    <mergeCell ref="L28:L29"/>
    <mergeCell ref="M24:M25"/>
    <mergeCell ref="L32:L33"/>
    <mergeCell ref="M32:M33"/>
    <mergeCell ref="L30:L31"/>
    <mergeCell ref="N28:N29"/>
    <mergeCell ref="N36:N37"/>
    <mergeCell ref="N32:N33"/>
    <mergeCell ref="N34:N35"/>
    <mergeCell ref="N38:N39"/>
    <mergeCell ref="E3:K5"/>
    <mergeCell ref="E9:E10"/>
    <mergeCell ref="E7:E8"/>
    <mergeCell ref="N20:N21"/>
    <mergeCell ref="M20:M21"/>
    <mergeCell ref="N6:N11"/>
    <mergeCell ref="N12:N13"/>
    <mergeCell ref="N14:N15"/>
    <mergeCell ref="M12:M13"/>
    <mergeCell ref="L6:M10"/>
    <mergeCell ref="L14:L15"/>
    <mergeCell ref="M14:M15"/>
    <mergeCell ref="L20:L21"/>
    <mergeCell ref="L12:L13"/>
    <mergeCell ref="L18:L19"/>
    <mergeCell ref="M18:M19"/>
    <mergeCell ref="N18:N19"/>
    <mergeCell ref="L16:L17"/>
    <mergeCell ref="M16:M17"/>
    <mergeCell ref="N16:N17"/>
    <mergeCell ref="D26:D27"/>
    <mergeCell ref="L22:L23"/>
    <mergeCell ref="M22:M23"/>
    <mergeCell ref="M26:M27"/>
    <mergeCell ref="L26:L27"/>
    <mergeCell ref="L24:L25"/>
    <mergeCell ref="N22:N23"/>
    <mergeCell ref="N26:N27"/>
    <mergeCell ref="N24:N25"/>
    <mergeCell ref="F6:K6"/>
    <mergeCell ref="H7:I8"/>
    <mergeCell ref="F7:G8"/>
    <mergeCell ref="F9:G10"/>
    <mergeCell ref="J7:K8"/>
    <mergeCell ref="H9:I10"/>
    <mergeCell ref="J9:K10"/>
    <mergeCell ref="B6:D6"/>
    <mergeCell ref="D14:D15"/>
    <mergeCell ref="D7:D11"/>
    <mergeCell ref="D12:D13"/>
    <mergeCell ref="C7:C11"/>
    <mergeCell ref="B14:B15"/>
    <mergeCell ref="B7:B11"/>
    <mergeCell ref="B12:B13"/>
    <mergeCell ref="B16:B17"/>
    <mergeCell ref="D16:D17"/>
    <mergeCell ref="D22:D23"/>
    <mergeCell ref="D48:D49"/>
    <mergeCell ref="L48:L49"/>
    <mergeCell ref="D28:D29"/>
    <mergeCell ref="D24:D25"/>
    <mergeCell ref="D20:D21"/>
    <mergeCell ref="D18:D19"/>
    <mergeCell ref="L36:L37"/>
    <mergeCell ref="L34:L35"/>
    <mergeCell ref="D32:D33"/>
    <mergeCell ref="D44:D45"/>
    <mergeCell ref="D46:D47"/>
    <mergeCell ref="D30:D31"/>
    <mergeCell ref="M46:M47"/>
    <mergeCell ref="L46:L47"/>
    <mergeCell ref="D36:D37"/>
    <mergeCell ref="M40:M41"/>
    <mergeCell ref="D42:D43"/>
    <mergeCell ref="D40:D41"/>
    <mergeCell ref="L40:L41"/>
    <mergeCell ref="D34:D35"/>
    <mergeCell ref="D38:D39"/>
    <mergeCell ref="L38:L39"/>
    <mergeCell ref="M38:M39"/>
    <mergeCell ref="M36:M37"/>
    <mergeCell ref="I53:L53"/>
    <mergeCell ref="H56:I57"/>
    <mergeCell ref="L42:L43"/>
    <mergeCell ref="M42:M43"/>
    <mergeCell ref="L44:L45"/>
    <mergeCell ref="M44:M45"/>
    <mergeCell ref="M48:M49"/>
    <mergeCell ref="C50:D50"/>
    <mergeCell ref="D54:E54"/>
    <mergeCell ref="D55:E55"/>
    <mergeCell ref="D52:E52"/>
    <mergeCell ref="D53:E53"/>
  </mergeCells>
  <phoneticPr fontId="4" type="noConversion"/>
  <printOptions horizontalCentered="1"/>
  <pageMargins left="0" right="0" top="0.15748031496062992" bottom="0" header="0" footer="0"/>
  <pageSetup paperSize="9" scale="1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51"/>
  <sheetViews>
    <sheetView topLeftCell="A16" zoomScale="110" zoomScaleNormal="110" workbookViewId="0">
      <selection activeCell="A21" sqref="A21"/>
    </sheetView>
  </sheetViews>
  <sheetFormatPr defaultColWidth="8.88671875" defaultRowHeight="15" customHeight="1"/>
  <cols>
    <col min="1" max="1" width="35.6640625" style="1" customWidth="1"/>
    <col min="2" max="3" width="11.5546875" style="3" customWidth="1"/>
    <col min="4" max="6" width="5.6640625" style="3" customWidth="1"/>
    <col min="7" max="11" width="8" style="3" customWidth="1"/>
    <col min="12" max="12" width="20.109375" style="3" hidden="1" customWidth="1"/>
    <col min="13" max="14" width="10.6640625" style="3" customWidth="1"/>
    <col min="15" max="15" width="15.6640625" style="3" customWidth="1"/>
    <col min="16" max="45" width="3.6640625" style="3" hidden="1" customWidth="1"/>
    <col min="46" max="16384" width="8.88671875" style="3"/>
  </cols>
  <sheetData>
    <row r="1" spans="1:45" ht="49.95" customHeight="1">
      <c r="A1" s="1" t="e" vm="1">
        <v>#VALUE!</v>
      </c>
      <c r="B1" s="241" t="s">
        <v>65</v>
      </c>
      <c r="C1" s="234"/>
      <c r="D1" s="234"/>
      <c r="E1" s="234"/>
      <c r="F1" s="234"/>
      <c r="G1" s="234"/>
      <c r="H1" s="234"/>
      <c r="I1" s="234"/>
      <c r="J1" s="234"/>
      <c r="K1" s="234"/>
      <c r="M1" s="242" t="s">
        <v>16</v>
      </c>
      <c r="N1" s="242"/>
      <c r="O1" s="242"/>
    </row>
    <row r="2" spans="1:45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M2" s="4"/>
      <c r="N2" s="4"/>
      <c r="O2" s="4"/>
    </row>
    <row r="3" spans="1:45" ht="15" customHeight="1">
      <c r="A3" s="11"/>
      <c r="B3" s="1"/>
      <c r="C3" s="1"/>
      <c r="D3" s="12"/>
      <c r="M3" s="242" t="s">
        <v>15</v>
      </c>
      <c r="N3" s="242"/>
      <c r="O3" s="242"/>
    </row>
    <row r="4" spans="1:45" ht="25.2" customHeight="1">
      <c r="A4" s="5" t="s">
        <v>21</v>
      </c>
      <c r="B4" s="1"/>
      <c r="C4" s="1"/>
      <c r="M4" s="242"/>
      <c r="N4" s="242"/>
      <c r="O4" s="242"/>
    </row>
    <row r="5" spans="1:45" ht="4.95" customHeight="1">
      <c r="A5" s="5"/>
      <c r="B5" s="1"/>
      <c r="C5" s="1"/>
      <c r="M5" s="4"/>
      <c r="N5" s="4"/>
      <c r="O5" s="4"/>
    </row>
    <row r="6" spans="1:45" ht="25.2" customHeight="1">
      <c r="A6" s="243" t="s">
        <v>18</v>
      </c>
      <c r="B6" s="243"/>
      <c r="C6" s="244" t="s">
        <v>19</v>
      </c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</row>
    <row r="7" spans="1:45" ht="19.95" customHeight="1">
      <c r="A7" s="243"/>
      <c r="B7" s="243"/>
      <c r="C7" s="238" t="s">
        <v>29</v>
      </c>
      <c r="D7" s="219" t="s">
        <v>30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5"/>
    </row>
    <row r="8" spans="1:45" ht="15" customHeight="1">
      <c r="A8" s="243"/>
      <c r="B8" s="243"/>
      <c r="C8" s="239"/>
      <c r="D8" s="223" t="s">
        <v>0</v>
      </c>
      <c r="E8" s="223" t="s">
        <v>22</v>
      </c>
      <c r="F8" s="223" t="s">
        <v>23</v>
      </c>
      <c r="G8" s="223" t="s">
        <v>24</v>
      </c>
      <c r="H8" s="223" t="s">
        <v>25</v>
      </c>
      <c r="I8" s="223" t="s">
        <v>26</v>
      </c>
      <c r="J8" s="223" t="s">
        <v>27</v>
      </c>
      <c r="K8" s="223" t="s">
        <v>28</v>
      </c>
      <c r="L8" s="13"/>
      <c r="M8" s="223" t="s">
        <v>31</v>
      </c>
      <c r="N8" s="223" t="s">
        <v>32</v>
      </c>
      <c r="O8" s="223" t="s">
        <v>33</v>
      </c>
      <c r="P8" s="234" t="s">
        <v>3</v>
      </c>
      <c r="Q8" s="234"/>
      <c r="R8" s="234"/>
      <c r="S8" s="234" t="s">
        <v>4</v>
      </c>
      <c r="T8" s="234"/>
      <c r="U8" s="234"/>
      <c r="V8" s="234" t="s">
        <v>6</v>
      </c>
      <c r="W8" s="234"/>
      <c r="X8" s="234"/>
      <c r="Y8" s="234" t="s">
        <v>7</v>
      </c>
      <c r="Z8" s="234"/>
      <c r="AA8" s="234"/>
      <c r="AB8" s="234" t="s">
        <v>8</v>
      </c>
      <c r="AC8" s="234"/>
      <c r="AD8" s="234"/>
      <c r="AE8" s="234" t="s">
        <v>9</v>
      </c>
      <c r="AF8" s="234"/>
      <c r="AG8" s="234"/>
      <c r="AH8" s="234" t="s">
        <v>10</v>
      </c>
      <c r="AI8" s="234"/>
      <c r="AJ8" s="234"/>
      <c r="AK8" s="234" t="s">
        <v>11</v>
      </c>
      <c r="AL8" s="234"/>
      <c r="AM8" s="234"/>
      <c r="AN8" s="234" t="s">
        <v>12</v>
      </c>
      <c r="AO8" s="234"/>
      <c r="AP8" s="234"/>
      <c r="AQ8" s="234" t="s">
        <v>13</v>
      </c>
      <c r="AR8" s="234"/>
      <c r="AS8" s="234"/>
    </row>
    <row r="9" spans="1:45" ht="25.2" customHeight="1">
      <c r="A9" s="74" t="s">
        <v>34</v>
      </c>
      <c r="B9" s="122" t="s">
        <v>35</v>
      </c>
      <c r="C9" s="240"/>
      <c r="D9" s="224"/>
      <c r="E9" s="224"/>
      <c r="F9" s="224"/>
      <c r="G9" s="224"/>
      <c r="H9" s="224"/>
      <c r="I9" s="224"/>
      <c r="J9" s="224"/>
      <c r="K9" s="224"/>
      <c r="L9" s="13" t="s">
        <v>2</v>
      </c>
      <c r="M9" s="224"/>
      <c r="N9" s="224"/>
      <c r="O9" s="224"/>
      <c r="P9" s="2" t="s">
        <v>1</v>
      </c>
      <c r="Q9" s="6" t="s">
        <v>5</v>
      </c>
      <c r="R9" s="7" t="s">
        <v>20</v>
      </c>
      <c r="S9" s="2" t="s">
        <v>1</v>
      </c>
      <c r="T9" s="6" t="s">
        <v>5</v>
      </c>
      <c r="U9" s="7" t="s">
        <v>20</v>
      </c>
      <c r="V9" s="2" t="s">
        <v>1</v>
      </c>
      <c r="W9" s="6" t="s">
        <v>5</v>
      </c>
      <c r="X9" s="7" t="s">
        <v>20</v>
      </c>
      <c r="Y9" s="2" t="s">
        <v>1</v>
      </c>
      <c r="Z9" s="6" t="s">
        <v>5</v>
      </c>
      <c r="AA9" s="7" t="s">
        <v>20</v>
      </c>
      <c r="AB9" s="2" t="s">
        <v>1</v>
      </c>
      <c r="AC9" s="6" t="s">
        <v>5</v>
      </c>
      <c r="AD9" s="7" t="s">
        <v>20</v>
      </c>
      <c r="AE9" s="2" t="s">
        <v>1</v>
      </c>
      <c r="AF9" s="6" t="s">
        <v>5</v>
      </c>
      <c r="AG9" s="7" t="s">
        <v>20</v>
      </c>
      <c r="AH9" s="2" t="s">
        <v>1</v>
      </c>
      <c r="AI9" s="6" t="s">
        <v>5</v>
      </c>
      <c r="AJ9" s="7" t="s">
        <v>20</v>
      </c>
      <c r="AK9" s="2" t="s">
        <v>1</v>
      </c>
      <c r="AL9" s="6" t="s">
        <v>5</v>
      </c>
      <c r="AM9" s="7" t="s">
        <v>20</v>
      </c>
      <c r="AN9" s="2" t="s">
        <v>1</v>
      </c>
      <c r="AO9" s="6" t="s">
        <v>5</v>
      </c>
      <c r="AP9" s="7" t="s">
        <v>20</v>
      </c>
      <c r="AQ9" s="2" t="s">
        <v>1</v>
      </c>
      <c r="AR9" s="6" t="s">
        <v>5</v>
      </c>
      <c r="AS9" s="7" t="s">
        <v>20</v>
      </c>
    </row>
    <row r="10" spans="1:45" ht="19.95" customHeight="1">
      <c r="A10" s="12" t="str">
        <f>'บางบัวทอง-ผลิต'!C12</f>
        <v>องุ่นดำไร้เมล็ด 150 กรัม x36P</v>
      </c>
      <c r="B10" s="3">
        <v>36</v>
      </c>
      <c r="C10" s="126" cm="1">
        <f t="array" ref="C10">SUMPRODUCT(ROUNDUP(D10:K10/B10, 0))</f>
        <v>0</v>
      </c>
      <c r="D10" s="14">
        <f>'บางบัวทอง-ผลิต'!E12</f>
        <v>0</v>
      </c>
      <c r="E10" s="14">
        <f>'บางบัวทอง-ผลิต'!F12</f>
        <v>0</v>
      </c>
      <c r="F10" s="14">
        <f>'บางบัวทอง-ผลิต'!G12</f>
        <v>0</v>
      </c>
      <c r="G10" s="14">
        <f>'บางบัวทอง-ผลิต'!H12</f>
        <v>0</v>
      </c>
      <c r="H10" s="14">
        <f>'บางบัวทอง-ผลิต'!I12</f>
        <v>0</v>
      </c>
      <c r="I10" s="14">
        <f>'บางบัวทอง-ผลิต'!J12</f>
        <v>0</v>
      </c>
      <c r="J10" s="14">
        <f>'บางบัวทอง-ผลิต'!K12</f>
        <v>0</v>
      </c>
      <c r="K10" s="14"/>
      <c r="L10" s="14" t="str">
        <f>INT(SUM(D10:K10)/B10) &amp; " full, " &amp; IF(MOD(SUM(D10:K10), B10)/B10 &lt;= 0.5, "1 less than half", IF(MOD(SUM(D10:K10), B10)/B10 &gt; 0.5, "1 more than half", ""))</f>
        <v>0 full, 1 less than half</v>
      </c>
      <c r="M10" s="14"/>
      <c r="N10" s="14"/>
      <c r="O10" s="14"/>
      <c r="P10" s="8">
        <f>INT(D10/B10)</f>
        <v>0</v>
      </c>
      <c r="Q10" s="9">
        <f>IF(MOD(D10,B10)/B10&gt;0.5,1,0)</f>
        <v>0</v>
      </c>
      <c r="R10" s="10">
        <f>IF(AND(MOD(D10,B10)/B10&lt;=0.5,MOD(D10,B10)&lt;&gt;0),1,0)</f>
        <v>0</v>
      </c>
      <c r="S10" s="8" t="e">
        <f>INT(#REF!/B10)</f>
        <v>#REF!</v>
      </c>
      <c r="T10" s="9" t="e">
        <f>IF(MOD(#REF!,B10)/B10&gt;0.5,1,0)</f>
        <v>#REF!</v>
      </c>
      <c r="U10" s="10" t="e">
        <f>IF(AND(MOD(#REF!,B10)/B10&lt;=0.5,MOD(#REF!,B10)&lt;&gt;0),1,0)</f>
        <v>#REF!</v>
      </c>
      <c r="V10" s="8">
        <f>INT(E10/B10)</f>
        <v>0</v>
      </c>
      <c r="W10" s="9">
        <f>IF(MOD(E10,B10)/B10&gt;0.5,1,0)</f>
        <v>0</v>
      </c>
      <c r="X10" s="10">
        <f>IF(AND(MOD(E10,B10)/B10&lt;=0.5,MOD(E10,B10)&lt;&gt;0),1,0)</f>
        <v>0</v>
      </c>
      <c r="Y10" s="8">
        <f>INT(F10/B10)</f>
        <v>0</v>
      </c>
      <c r="Z10" s="9">
        <f>IF(MOD(F10,B10)/B10&gt;0.5,1,0)</f>
        <v>0</v>
      </c>
      <c r="AA10" s="10">
        <f>IF(AND(MOD(F10,B10)/B10&lt;=0.5,MOD(F10,B10)&lt;&gt;0),1,0)</f>
        <v>0</v>
      </c>
      <c r="AB10" s="8">
        <f>INT(G10/B10)</f>
        <v>0</v>
      </c>
      <c r="AC10" s="9">
        <f>IF(MOD(G10,B10)/B10&gt;0.5,1,0)</f>
        <v>0</v>
      </c>
      <c r="AD10" s="10">
        <f>IF(AND(MOD(G10,B10)/B10&lt;=0.5,MOD(G10,B10)&lt;&gt;0),1,0)</f>
        <v>0</v>
      </c>
      <c r="AE10" s="8" t="e">
        <f>INT(#REF!/B10)</f>
        <v>#REF!</v>
      </c>
      <c r="AF10" s="9" t="e">
        <f>IF(MOD(#REF!,B10)/B10&gt;0.5,1,0)</f>
        <v>#REF!</v>
      </c>
      <c r="AG10" s="10" t="e">
        <f>IF(AND(MOD(#REF!,B10)/B10&lt;=0.5,MOD(#REF!,B10)&lt;&gt;0),1,0)</f>
        <v>#REF!</v>
      </c>
      <c r="AH10" s="8">
        <f>INT(H10/B10)</f>
        <v>0</v>
      </c>
      <c r="AI10" s="9">
        <f>IF(MOD(H10,B10)/B10&gt;0.5,1,0)</f>
        <v>0</v>
      </c>
      <c r="AJ10" s="10">
        <f>IF(AND(MOD(H10,B10)/B10&lt;=0.5,MOD(H10,B10)&lt;&gt;0),1,0)</f>
        <v>0</v>
      </c>
      <c r="AK10" s="8">
        <f>INT(I10/B10)</f>
        <v>0</v>
      </c>
      <c r="AL10" s="9">
        <f>IF(MOD(I10,B10)/B10&gt;0.5,1,0)</f>
        <v>0</v>
      </c>
      <c r="AM10" s="10">
        <f>IF(AND(MOD(I10,B10)/B10&lt;=0.5,MOD(I10,B10)&lt;&gt;0),1,0)</f>
        <v>0</v>
      </c>
      <c r="AN10" s="8">
        <f>INT(J10/B10)</f>
        <v>0</v>
      </c>
      <c r="AO10" s="9">
        <f>IF(MOD(J10,B10)/B10&gt;0.5,1,0)</f>
        <v>0</v>
      </c>
      <c r="AP10" s="10">
        <f>IF(AND(MOD(J10,B10)/B10&lt;=0.5,MOD(J10,B10)&lt;&gt;0),1,0)</f>
        <v>0</v>
      </c>
      <c r="AQ10" s="8">
        <f>INT(K10/B10)</f>
        <v>0</v>
      </c>
      <c r="AR10" s="9">
        <f>IF(MOD(K10,B10)/B10&gt;0.5,1,0)</f>
        <v>0</v>
      </c>
      <c r="AS10" s="10">
        <f>IF(AND(MOD(K10,B10)/B10&lt;=0.5,MOD(K10,B10)&lt;&gt;0),1,0)</f>
        <v>0</v>
      </c>
    </row>
    <row r="11" spans="1:45" ht="19.95" customHeight="1">
      <c r="A11" s="12" t="str">
        <f>'บางบัวทอง-ผลิต'!C14</f>
        <v>องุ่นแดงนอกมีเมล็ด 200 กรัม x 32 P</v>
      </c>
      <c r="B11" s="3">
        <v>32</v>
      </c>
      <c r="C11" s="126">
        <f t="shared" ref="C11:C17" si="0">SUMPRODUCT(ROUNDUP(D11:K11/B11, 0))</f>
        <v>0</v>
      </c>
      <c r="D11" s="14">
        <f>'บางบัวทอง-ผลิต'!E14</f>
        <v>0</v>
      </c>
      <c r="E11" s="14">
        <f>'บางบัวทอง-ผลิต'!F14</f>
        <v>0</v>
      </c>
      <c r="F11" s="14">
        <f>'บางบัวทอง-ผลิต'!G14</f>
        <v>0</v>
      </c>
      <c r="G11" s="14">
        <f>'บางบัวทอง-ผลิต'!H14</f>
        <v>0</v>
      </c>
      <c r="H11" s="14">
        <f>'บางบัวทอง-ผลิต'!I14</f>
        <v>0</v>
      </c>
      <c r="I11" s="14">
        <f>'บางบัวทอง-ผลิต'!J14</f>
        <v>0</v>
      </c>
      <c r="J11" s="14">
        <f>'บางบัวทอง-ผลิต'!K14</f>
        <v>0</v>
      </c>
      <c r="K11" s="14"/>
      <c r="L11" s="14" t="str">
        <f>INT(SUM(D11:K11)/B11) &amp; " full, " &amp; IF(MOD(SUM(D11:K11), B11)/B11 &lt;= 0.5, "1 less than half", IF(MOD(SUM(D11:K11), B11)/B11 &gt; 0.5, "1 more than half", ""))</f>
        <v>0 full, 1 less than half</v>
      </c>
      <c r="M11" s="14"/>
      <c r="N11" s="14"/>
      <c r="O11" s="14"/>
      <c r="P11" s="8">
        <f>INT(D11/B11)</f>
        <v>0</v>
      </c>
      <c r="Q11" s="9">
        <f>IF(MOD(D11,B11)/B11&gt;0.5,1,0)</f>
        <v>0</v>
      </c>
      <c r="R11" s="10">
        <f>IF(AND(MOD(D11,B11)/B11&lt;=0.5,MOD(D11,B11)&lt;&gt;0),1,0)</f>
        <v>0</v>
      </c>
      <c r="S11" s="8" t="e">
        <f>INT(#REF!/B11)</f>
        <v>#REF!</v>
      </c>
      <c r="T11" s="9" t="e">
        <f>IF(MOD(#REF!,B11)/B11&gt;0.5,1,0)</f>
        <v>#REF!</v>
      </c>
      <c r="U11" s="10" t="e">
        <f>IF(AND(MOD(#REF!,B11)/B11&lt;=0.5,MOD(#REF!,B11)&lt;&gt;0),1,0)</f>
        <v>#REF!</v>
      </c>
      <c r="V11" s="8">
        <f>INT(E11/B11)</f>
        <v>0</v>
      </c>
      <c r="W11" s="9">
        <f>IF(MOD(E11,B11)/B11&gt;0.5,1,0)</f>
        <v>0</v>
      </c>
      <c r="X11" s="10">
        <f>IF(AND(MOD(E11,B11)/B11&lt;=0.5,MOD(E11,B11)&lt;&gt;0),1,0)</f>
        <v>0</v>
      </c>
      <c r="Y11" s="8">
        <f>INT(F11/B11)</f>
        <v>0</v>
      </c>
      <c r="Z11" s="9">
        <f>IF(MOD(F11,B11)/B11&gt;0.5,1,0)</f>
        <v>0</v>
      </c>
      <c r="AA11" s="10">
        <f>IF(AND(MOD(F11,B11)/B11&lt;=0.5,MOD(F11,B11)&lt;&gt;0),1,0)</f>
        <v>0</v>
      </c>
      <c r="AB11" s="8">
        <f>INT(G11/B11)</f>
        <v>0</v>
      </c>
      <c r="AC11" s="9">
        <f>IF(MOD(G11,B11)/B11&gt;0.5,1,0)</f>
        <v>0</v>
      </c>
      <c r="AD11" s="10">
        <f>IF(AND(MOD(G11,B11)/B11&lt;=0.5,MOD(G11,B11)&lt;&gt;0),1,0)</f>
        <v>0</v>
      </c>
      <c r="AE11" s="8" t="e">
        <f>INT(#REF!/B11)</f>
        <v>#REF!</v>
      </c>
      <c r="AF11" s="9" t="e">
        <f>IF(MOD(#REF!,B11)/B11&gt;0.5,1,0)</f>
        <v>#REF!</v>
      </c>
      <c r="AG11" s="10" t="e">
        <f>IF(AND(MOD(#REF!,B11)/B11&lt;=0.5,MOD(#REF!,B11)&lt;&gt;0),1,0)</f>
        <v>#REF!</v>
      </c>
      <c r="AH11" s="8">
        <f>INT(H11/B11)</f>
        <v>0</v>
      </c>
      <c r="AI11" s="9">
        <f>IF(MOD(H11,B11)/B11&gt;0.5,1,0)</f>
        <v>0</v>
      </c>
      <c r="AJ11" s="10">
        <f>IF(AND(MOD(H11,B11)/B11&lt;=0.5,MOD(H11,B11)&lt;&gt;0),1,0)</f>
        <v>0</v>
      </c>
      <c r="AK11" s="8">
        <f>INT(I11/B11)</f>
        <v>0</v>
      </c>
      <c r="AL11" s="9">
        <f>IF(MOD(I11,B11)/B11&gt;0.5,1,0)</f>
        <v>0</v>
      </c>
      <c r="AM11" s="10">
        <f>IF(AND(MOD(I11,B11)/B11&lt;=0.5,MOD(I11,B11)&lt;&gt;0),1,0)</f>
        <v>0</v>
      </c>
      <c r="AN11" s="8">
        <f>INT(J11/B11)</f>
        <v>0</v>
      </c>
      <c r="AO11" s="9">
        <f>IF(MOD(J11,B11)/B11&gt;0.5,1,0)</f>
        <v>0</v>
      </c>
      <c r="AP11" s="10">
        <f>IF(AND(MOD(J11,B11)/B11&lt;=0.5,MOD(J11,B11)&lt;&gt;0),1,0)</f>
        <v>0</v>
      </c>
      <c r="AQ11" s="8">
        <f>INT(K11/B11)</f>
        <v>0</v>
      </c>
      <c r="AR11" s="9">
        <f>IF(MOD(K11,B11)/B11&gt;0.5,1,0)</f>
        <v>0</v>
      </c>
      <c r="AS11" s="10">
        <f>IF(AND(MOD(K11,B11)/B11&lt;=0.5,MOD(K11,B11)&lt;&gt;0),1,0)</f>
        <v>0</v>
      </c>
    </row>
    <row r="12" spans="1:45" ht="19.95" customHeight="1" thickBot="1">
      <c r="A12" s="12" t="s">
        <v>145</v>
      </c>
      <c r="B12" s="3">
        <v>14</v>
      </c>
      <c r="C12" s="126">
        <f t="shared" si="0"/>
        <v>0</v>
      </c>
      <c r="D12" s="14">
        <f>'บางบัวทอง-ผลิต'!E16</f>
        <v>0</v>
      </c>
      <c r="E12" s="14">
        <f>'บางบัวทอง-ผลิต'!F16</f>
        <v>0</v>
      </c>
      <c r="F12" s="14">
        <f>'บางบัวทอง-ผลิต'!G16</f>
        <v>0</v>
      </c>
      <c r="G12" s="14">
        <f>'บางบัวทอง-ผลิต'!H16</f>
        <v>0</v>
      </c>
      <c r="H12" s="14">
        <f>'บางบัวทอง-ผลิต'!I16</f>
        <v>0</v>
      </c>
      <c r="I12" s="14">
        <f>'บางบัวทอง-ผลิต'!J16</f>
        <v>0</v>
      </c>
      <c r="J12" s="14">
        <f>'บางบัวทอง-ผลิต'!K16</f>
        <v>0</v>
      </c>
      <c r="K12" s="14"/>
      <c r="L12" s="14"/>
      <c r="M12" s="14"/>
      <c r="N12" s="14"/>
      <c r="O12" s="14"/>
      <c r="P12" s="8"/>
      <c r="Q12" s="9"/>
      <c r="R12" s="10"/>
      <c r="S12" s="8"/>
      <c r="T12" s="9"/>
      <c r="U12" s="10"/>
      <c r="V12" s="8"/>
      <c r="W12" s="9"/>
      <c r="X12" s="10"/>
      <c r="Y12" s="8"/>
      <c r="Z12" s="9"/>
      <c r="AA12" s="10"/>
      <c r="AB12" s="8"/>
      <c r="AC12" s="9"/>
      <c r="AD12" s="10"/>
      <c r="AE12" s="8"/>
      <c r="AF12" s="9"/>
      <c r="AG12" s="10"/>
      <c r="AH12" s="8"/>
      <c r="AI12" s="9"/>
      <c r="AJ12" s="10"/>
      <c r="AK12" s="8"/>
      <c r="AL12" s="9"/>
      <c r="AM12" s="10"/>
      <c r="AN12" s="8"/>
      <c r="AO12" s="9"/>
      <c r="AP12" s="10"/>
      <c r="AQ12" s="8"/>
      <c r="AR12" s="9"/>
      <c r="AS12" s="10"/>
    </row>
    <row r="13" spans="1:45" ht="19.95" customHeight="1">
      <c r="A13" s="139" t="s">
        <v>147</v>
      </c>
      <c r="B13" s="3">
        <v>14</v>
      </c>
      <c r="C13" s="126">
        <f t="shared" si="0"/>
        <v>0</v>
      </c>
      <c r="D13" s="14">
        <f>'บางบัวทอง-ผลิต'!E18</f>
        <v>0</v>
      </c>
      <c r="E13" s="14">
        <f>'บางบัวทอง-ผลิต'!F18</f>
        <v>0</v>
      </c>
      <c r="F13" s="14">
        <f>'บางบัวทอง-ผลิต'!G18</f>
        <v>0</v>
      </c>
      <c r="G13" s="14">
        <f>'บางบัวทอง-ผลิต'!H18</f>
        <v>0</v>
      </c>
      <c r="H13" s="14">
        <f>'บางบัวทอง-ผลิต'!I18</f>
        <v>0</v>
      </c>
      <c r="I13" s="14">
        <f>'บางบัวทอง-ผลิต'!J18</f>
        <v>0</v>
      </c>
      <c r="J13" s="14">
        <f>'บางบัวทอง-ผลิต'!K18</f>
        <v>0</v>
      </c>
      <c r="K13" s="14"/>
      <c r="L13" s="14"/>
      <c r="M13" s="14"/>
      <c r="N13" s="14"/>
      <c r="O13" s="14"/>
      <c r="P13" s="8"/>
      <c r="Q13" s="9"/>
      <c r="R13" s="10"/>
      <c r="S13" s="8"/>
      <c r="T13" s="9"/>
      <c r="U13" s="10"/>
      <c r="V13" s="8"/>
      <c r="W13" s="9"/>
      <c r="X13" s="10"/>
      <c r="Y13" s="8"/>
      <c r="Z13" s="9"/>
      <c r="AA13" s="10"/>
      <c r="AB13" s="8"/>
      <c r="AC13" s="9"/>
      <c r="AD13" s="10"/>
      <c r="AE13" s="8"/>
      <c r="AF13" s="9"/>
      <c r="AG13" s="10"/>
      <c r="AH13" s="8"/>
      <c r="AI13" s="9"/>
      <c r="AJ13" s="10"/>
      <c r="AK13" s="8"/>
      <c r="AL13" s="9"/>
      <c r="AM13" s="10"/>
      <c r="AN13" s="8"/>
      <c r="AO13" s="9"/>
      <c r="AP13" s="10"/>
      <c r="AQ13" s="8"/>
      <c r="AR13" s="9"/>
      <c r="AS13" s="10"/>
    </row>
    <row r="14" spans="1:45" ht="19.95" customHeight="1">
      <c r="A14" s="12" t="str">
        <f>'บางบัวทอง-ผลิต'!C20</f>
        <v>องุ่นแดงไร้เมล็ด150กรัม x 32 Pไข่ปลา</v>
      </c>
      <c r="B14" s="3">
        <v>32</v>
      </c>
      <c r="C14" s="126">
        <f t="shared" si="0"/>
        <v>0</v>
      </c>
      <c r="D14" s="14">
        <f>'บางบัวทอง-ผลิต'!E20</f>
        <v>0</v>
      </c>
      <c r="E14" s="14">
        <f>'บางบัวทอง-ผลิต'!F20</f>
        <v>0</v>
      </c>
      <c r="F14" s="14">
        <f>'บางบัวทอง-ผลิต'!G20</f>
        <v>0</v>
      </c>
      <c r="G14" s="14">
        <f>'บางบัวทอง-ผลิต'!H20</f>
        <v>0</v>
      </c>
      <c r="H14" s="14">
        <f>'บางบัวทอง-ผลิต'!I20</f>
        <v>0</v>
      </c>
      <c r="I14" s="14">
        <f>'บางบัวทอง-ผลิต'!J20</f>
        <v>0</v>
      </c>
      <c r="J14" s="14">
        <f>'บางบัวทอง-ผลิต'!K20</f>
        <v>0</v>
      </c>
      <c r="K14" s="14"/>
      <c r="L14" s="14" t="str">
        <f t="shared" ref="L14:L18" si="1">INT(SUM(D14:K14)/B14) &amp; " full, " &amp; IF(MOD(SUM(D14:K14), B14)/B14 &lt;= 0.5, "1 less than half", IF(MOD(SUM(D14:K14), B14)/B14 &gt; 0.5, "1 more than half", ""))</f>
        <v>0 full, 1 less than half</v>
      </c>
      <c r="M14" s="14"/>
      <c r="N14" s="14"/>
      <c r="O14" s="14"/>
      <c r="P14" s="8">
        <f t="shared" ref="P14:P18" si="2">INT(D14/B14)</f>
        <v>0</v>
      </c>
      <c r="Q14" s="9">
        <f t="shared" ref="Q14:Q18" si="3">IF(MOD(D14,B14)/B14&gt;0.5,1,0)</f>
        <v>0</v>
      </c>
      <c r="R14" s="10">
        <f t="shared" ref="R14:R18" si="4">IF(AND(MOD(D14,B14)/B14&lt;=0.5,MOD(D14,B14)&lt;&gt;0),1,0)</f>
        <v>0</v>
      </c>
      <c r="S14" s="8" t="e">
        <f>INT(#REF!/B14)</f>
        <v>#REF!</v>
      </c>
      <c r="T14" s="9" t="e">
        <f>IF(MOD(#REF!,B14)/B14&gt;0.5,1,0)</f>
        <v>#REF!</v>
      </c>
      <c r="U14" s="10" t="e">
        <f>IF(AND(MOD(#REF!,B14)/B14&lt;=0.5,MOD(#REF!,B14)&lt;&gt;0),1,0)</f>
        <v>#REF!</v>
      </c>
      <c r="V14" s="8">
        <f t="shared" ref="V14:V18" si="5">INT(E14/B14)</f>
        <v>0</v>
      </c>
      <c r="W14" s="9">
        <f t="shared" ref="W14:W18" si="6">IF(MOD(E14,B14)/B14&gt;0.5,1,0)</f>
        <v>0</v>
      </c>
      <c r="X14" s="10">
        <f t="shared" ref="X14:X18" si="7">IF(AND(MOD(E14,B14)/B14&lt;=0.5,MOD(E14,B14)&lt;&gt;0),1,0)</f>
        <v>0</v>
      </c>
      <c r="Y14" s="8">
        <f t="shared" ref="Y14:Y18" si="8">INT(F14/B14)</f>
        <v>0</v>
      </c>
      <c r="Z14" s="9">
        <f t="shared" ref="Z14:Z18" si="9">IF(MOD(F14,B14)/B14&gt;0.5,1,0)</f>
        <v>0</v>
      </c>
      <c r="AA14" s="10">
        <f t="shared" ref="AA14:AA18" si="10">IF(AND(MOD(F14,B14)/B14&lt;=0.5,MOD(F14,B14)&lt;&gt;0),1,0)</f>
        <v>0</v>
      </c>
      <c r="AB14" s="8">
        <f t="shared" ref="AB14:AB18" si="11">INT(G14/B14)</f>
        <v>0</v>
      </c>
      <c r="AC14" s="9">
        <f t="shared" ref="AC14:AC18" si="12">IF(MOD(G14,B14)/B14&gt;0.5,1,0)</f>
        <v>0</v>
      </c>
      <c r="AD14" s="10">
        <f t="shared" ref="AD14:AD18" si="13">IF(AND(MOD(G14,B14)/B14&lt;=0.5,MOD(G14,B14)&lt;&gt;0),1,0)</f>
        <v>0</v>
      </c>
      <c r="AE14" s="8" t="e">
        <f>INT(#REF!/B14)</f>
        <v>#REF!</v>
      </c>
      <c r="AF14" s="9" t="e">
        <f>IF(MOD(#REF!,B14)/B14&gt;0.5,1,0)</f>
        <v>#REF!</v>
      </c>
      <c r="AG14" s="10" t="e">
        <f>IF(AND(MOD(#REF!,B14)/B14&lt;=0.5,MOD(#REF!,B14)&lt;&gt;0),1,0)</f>
        <v>#REF!</v>
      </c>
      <c r="AH14" s="8">
        <f t="shared" ref="AH14:AH18" si="14">INT(H14/B14)</f>
        <v>0</v>
      </c>
      <c r="AI14" s="9">
        <f t="shared" ref="AI14:AI18" si="15">IF(MOD(H14,B14)/B14&gt;0.5,1,0)</f>
        <v>0</v>
      </c>
      <c r="AJ14" s="10">
        <f t="shared" ref="AJ14:AJ18" si="16">IF(AND(MOD(H14,B14)/B14&lt;=0.5,MOD(H14,B14)&lt;&gt;0),1,0)</f>
        <v>0</v>
      </c>
      <c r="AK14" s="8">
        <f t="shared" ref="AK14:AK18" si="17">INT(I14/B14)</f>
        <v>0</v>
      </c>
      <c r="AL14" s="9">
        <f t="shared" ref="AL14:AL18" si="18">IF(MOD(I14,B14)/B14&gt;0.5,1,0)</f>
        <v>0</v>
      </c>
      <c r="AM14" s="10">
        <f t="shared" ref="AM14:AM18" si="19">IF(AND(MOD(I14,B14)/B14&lt;=0.5,MOD(I14,B14)&lt;&gt;0),1,0)</f>
        <v>0</v>
      </c>
      <c r="AN14" s="8">
        <f t="shared" ref="AN14:AN18" si="20">INT(J14/B14)</f>
        <v>0</v>
      </c>
      <c r="AO14" s="9">
        <f t="shared" ref="AO14:AO18" si="21">IF(MOD(J14,B14)/B14&gt;0.5,1,0)</f>
        <v>0</v>
      </c>
      <c r="AP14" s="10">
        <f t="shared" ref="AP14:AP18" si="22">IF(AND(MOD(J14,B14)/B14&lt;=0.5,MOD(J14,B14)&lt;&gt;0),1,0)</f>
        <v>0</v>
      </c>
      <c r="AQ14" s="8">
        <f t="shared" ref="AQ14:AQ19" si="23">INT(K14/B14)</f>
        <v>0</v>
      </c>
      <c r="AR14" s="9">
        <f t="shared" ref="AR14:AR19" si="24">IF(MOD(K14,B14)/B14&gt;0.5,1,0)</f>
        <v>0</v>
      </c>
      <c r="AS14" s="10">
        <f t="shared" ref="AS14:AS19" si="25">IF(AND(MOD(K14,B14)/B14&lt;=0.5,MOD(K14,B14)&lt;&gt;0),1,0)</f>
        <v>0</v>
      </c>
    </row>
    <row r="15" spans="1:45" ht="19.95" customHeight="1">
      <c r="A15" s="127" t="s">
        <v>142</v>
      </c>
      <c r="B15" s="3">
        <v>27</v>
      </c>
      <c r="C15" s="126">
        <f t="shared" ref="C15" si="26">SUMPRODUCT(ROUNDUP(D15:K15/B15, 0))</f>
        <v>0</v>
      </c>
      <c r="D15" s="14">
        <f>'บางบัวทอง-ผลิต'!E22</f>
        <v>0</v>
      </c>
      <c r="E15" s="14">
        <f>'บางบัวทอง-ผลิต'!F22</f>
        <v>0</v>
      </c>
      <c r="F15" s="14">
        <f>'บางบัวทอง-ผลิต'!G22</f>
        <v>0</v>
      </c>
      <c r="G15" s="14">
        <f>'บางบัวทอง-ผลิต'!H22</f>
        <v>0</v>
      </c>
      <c r="H15" s="14">
        <f>'บางบัวทอง-ผลิต'!I22</f>
        <v>0</v>
      </c>
      <c r="I15" s="14">
        <f>'บางบัวทอง-ผลิต'!J22</f>
        <v>0</v>
      </c>
      <c r="J15" s="14">
        <f>'บางบัวทอง-ผลิต'!K22</f>
        <v>0</v>
      </c>
      <c r="K15" s="14"/>
      <c r="L15" s="14" t="str">
        <f t="shared" ref="L15" si="27">INT(SUM(D15:K15)/B15) &amp; " full, " &amp; IF(MOD(SUM(D15:K15), B15)/B15 &lt;= 0.5, "1 less than half", IF(MOD(SUM(D15:K15), B15)/B15 &gt; 0.5, "1 more than half", ""))</f>
        <v>0 full, 1 less than half</v>
      </c>
      <c r="M15" s="14"/>
      <c r="N15" s="14"/>
      <c r="O15" s="14"/>
      <c r="P15" s="8">
        <f t="shared" ref="P15" si="28">INT(D15/B15)</f>
        <v>0</v>
      </c>
      <c r="Q15" s="9">
        <f t="shared" ref="Q15" si="29">IF(MOD(D15,B15)/B15&gt;0.5,1,0)</f>
        <v>0</v>
      </c>
      <c r="R15" s="10">
        <f t="shared" ref="R15" si="30">IF(AND(MOD(D15,B15)/B15&lt;=0.5,MOD(D15,B15)&lt;&gt;0),1,0)</f>
        <v>0</v>
      </c>
      <c r="S15" s="8" t="e">
        <f>INT(#REF!/B15)</f>
        <v>#REF!</v>
      </c>
      <c r="T15" s="9" t="e">
        <f>IF(MOD(#REF!,B15)/B15&gt;0.5,1,0)</f>
        <v>#REF!</v>
      </c>
      <c r="U15" s="10" t="e">
        <f>IF(AND(MOD(#REF!,B15)/B15&lt;=0.5,MOD(#REF!,B15)&lt;&gt;0),1,0)</f>
        <v>#REF!</v>
      </c>
      <c r="V15" s="8">
        <f t="shared" ref="V15" si="31">INT(E15/B15)</f>
        <v>0</v>
      </c>
      <c r="W15" s="9">
        <f t="shared" ref="W15" si="32">IF(MOD(E15,B15)/B15&gt;0.5,1,0)</f>
        <v>0</v>
      </c>
      <c r="X15" s="10">
        <f t="shared" ref="X15" si="33">IF(AND(MOD(E15,B15)/B15&lt;=0.5,MOD(E15,B15)&lt;&gt;0),1,0)</f>
        <v>0</v>
      </c>
      <c r="Y15" s="8">
        <f t="shared" ref="Y15" si="34">INT(F15/B15)</f>
        <v>0</v>
      </c>
      <c r="Z15" s="9">
        <f t="shared" ref="Z15" si="35">IF(MOD(F15,B15)/B15&gt;0.5,1,0)</f>
        <v>0</v>
      </c>
      <c r="AA15" s="10">
        <f t="shared" ref="AA15" si="36">IF(AND(MOD(F15,B15)/B15&lt;=0.5,MOD(F15,B15)&lt;&gt;0),1,0)</f>
        <v>0</v>
      </c>
      <c r="AB15" s="8">
        <f t="shared" ref="AB15" si="37">INT(G15/B15)</f>
        <v>0</v>
      </c>
      <c r="AC15" s="9">
        <f t="shared" ref="AC15" si="38">IF(MOD(G15,B15)/B15&gt;0.5,1,0)</f>
        <v>0</v>
      </c>
      <c r="AD15" s="10">
        <f t="shared" ref="AD15" si="39">IF(AND(MOD(G15,B15)/B15&lt;=0.5,MOD(G15,B15)&lt;&gt;0),1,0)</f>
        <v>0</v>
      </c>
      <c r="AE15" s="8" t="e">
        <f>INT(#REF!/B15)</f>
        <v>#REF!</v>
      </c>
      <c r="AF15" s="9" t="e">
        <f>IF(MOD(#REF!,B15)/B15&gt;0.5,1,0)</f>
        <v>#REF!</v>
      </c>
      <c r="AG15" s="10" t="e">
        <f>IF(AND(MOD(#REF!,B15)/B15&lt;=0.5,MOD(#REF!,B15)&lt;&gt;0),1,0)</f>
        <v>#REF!</v>
      </c>
      <c r="AH15" s="8">
        <f t="shared" ref="AH15" si="40">INT(H15/B15)</f>
        <v>0</v>
      </c>
      <c r="AI15" s="9">
        <f t="shared" ref="AI15" si="41">IF(MOD(H15,B15)/B15&gt;0.5,1,0)</f>
        <v>0</v>
      </c>
      <c r="AJ15" s="10">
        <f t="shared" ref="AJ15" si="42">IF(AND(MOD(H15,B15)/B15&lt;=0.5,MOD(H15,B15)&lt;&gt;0),1,0)</f>
        <v>0</v>
      </c>
      <c r="AK15" s="8">
        <f t="shared" ref="AK15" si="43">INT(I15/B15)</f>
        <v>0</v>
      </c>
      <c r="AL15" s="9">
        <f t="shared" ref="AL15" si="44">IF(MOD(I15,B15)/B15&gt;0.5,1,0)</f>
        <v>0</v>
      </c>
      <c r="AM15" s="10">
        <f t="shared" ref="AM15" si="45">IF(AND(MOD(I15,B15)/B15&lt;=0.5,MOD(I15,B15)&lt;&gt;0),1,0)</f>
        <v>0</v>
      </c>
      <c r="AN15" s="8">
        <f t="shared" ref="AN15" si="46">INT(J15/B15)</f>
        <v>0</v>
      </c>
      <c r="AO15" s="9">
        <f t="shared" ref="AO15" si="47">IF(MOD(J15,B15)/B15&gt;0.5,1,0)</f>
        <v>0</v>
      </c>
      <c r="AP15" s="10">
        <f t="shared" ref="AP15" si="48">IF(AND(MOD(J15,B15)/B15&lt;=0.5,MOD(J15,B15)&lt;&gt;0),1,0)</f>
        <v>0</v>
      </c>
      <c r="AQ15" s="8">
        <f t="shared" ref="AQ15" si="49">INT(K15/B15)</f>
        <v>0</v>
      </c>
      <c r="AR15" s="9">
        <f t="shared" ref="AR15" si="50">IF(MOD(K15,B15)/B15&gt;0.5,1,0)</f>
        <v>0</v>
      </c>
      <c r="AS15" s="10">
        <f t="shared" ref="AS15" si="51">IF(AND(MOD(K15,B15)/B15&lt;=0.5,MOD(K15,B15)&lt;&gt;0),1,0)</f>
        <v>0</v>
      </c>
    </row>
    <row r="16" spans="1:45" ht="19.95" customHeight="1">
      <c r="A16" s="12" t="str">
        <f>'บางบัวทอง-ผลิต'!C24</f>
        <v xml:space="preserve">สตรอเบอร์รี่ 250 กรัม x 27 P </v>
      </c>
      <c r="B16" s="3">
        <v>27</v>
      </c>
      <c r="C16" s="126">
        <f t="shared" si="0"/>
        <v>0</v>
      </c>
      <c r="D16" s="14">
        <f>'บางบัวทอง-ผลิต'!E24</f>
        <v>0</v>
      </c>
      <c r="E16" s="14">
        <f>'บางบัวทอง-ผลิต'!F24</f>
        <v>0</v>
      </c>
      <c r="F16" s="14">
        <f>'บางบัวทอง-ผลิต'!G24</f>
        <v>0</v>
      </c>
      <c r="G16" s="14">
        <f>'บางบัวทอง-ผลิต'!H24</f>
        <v>0</v>
      </c>
      <c r="H16" s="14">
        <f>'บางบัวทอง-ผลิต'!I24</f>
        <v>0</v>
      </c>
      <c r="I16" s="14">
        <f>'บางบัวทอง-ผลิต'!J24</f>
        <v>0</v>
      </c>
      <c r="J16" s="14">
        <f>'บางบัวทอง-ผลิต'!K24</f>
        <v>0</v>
      </c>
      <c r="K16" s="14"/>
      <c r="L16" s="14" t="str">
        <f t="shared" si="1"/>
        <v>0 full, 1 less than half</v>
      </c>
      <c r="M16" s="14"/>
      <c r="N16" s="14"/>
      <c r="O16" s="14"/>
      <c r="P16" s="8">
        <f t="shared" si="2"/>
        <v>0</v>
      </c>
      <c r="Q16" s="9">
        <f t="shared" si="3"/>
        <v>0</v>
      </c>
      <c r="R16" s="10">
        <f t="shared" si="4"/>
        <v>0</v>
      </c>
      <c r="S16" s="8"/>
      <c r="T16" s="9"/>
      <c r="U16" s="10"/>
      <c r="V16" s="8">
        <f t="shared" si="5"/>
        <v>0</v>
      </c>
      <c r="W16" s="9">
        <f t="shared" si="6"/>
        <v>0</v>
      </c>
      <c r="X16" s="10">
        <f t="shared" si="7"/>
        <v>0</v>
      </c>
      <c r="Y16" s="8">
        <f t="shared" si="8"/>
        <v>0</v>
      </c>
      <c r="Z16" s="9">
        <f t="shared" si="9"/>
        <v>0</v>
      </c>
      <c r="AA16" s="10">
        <f t="shared" si="10"/>
        <v>0</v>
      </c>
      <c r="AB16" s="8">
        <f t="shared" si="11"/>
        <v>0</v>
      </c>
      <c r="AC16" s="9">
        <f t="shared" si="12"/>
        <v>0</v>
      </c>
      <c r="AD16" s="10">
        <f t="shared" si="13"/>
        <v>0</v>
      </c>
      <c r="AE16" s="8"/>
      <c r="AF16" s="9"/>
      <c r="AG16" s="10"/>
      <c r="AH16" s="8">
        <f t="shared" si="14"/>
        <v>0</v>
      </c>
      <c r="AI16" s="9">
        <f t="shared" si="15"/>
        <v>0</v>
      </c>
      <c r="AJ16" s="10">
        <f t="shared" si="16"/>
        <v>0</v>
      </c>
      <c r="AK16" s="8">
        <f t="shared" si="17"/>
        <v>0</v>
      </c>
      <c r="AL16" s="9">
        <f t="shared" si="18"/>
        <v>0</v>
      </c>
      <c r="AM16" s="10">
        <f t="shared" si="19"/>
        <v>0</v>
      </c>
      <c r="AN16" s="8">
        <f t="shared" si="20"/>
        <v>0</v>
      </c>
      <c r="AO16" s="9">
        <f t="shared" si="21"/>
        <v>0</v>
      </c>
      <c r="AP16" s="10">
        <f t="shared" si="22"/>
        <v>0</v>
      </c>
      <c r="AQ16" s="8">
        <f t="shared" si="23"/>
        <v>0</v>
      </c>
      <c r="AR16" s="9">
        <f t="shared" si="24"/>
        <v>0</v>
      </c>
      <c r="AS16" s="10">
        <f t="shared" si="25"/>
        <v>0</v>
      </c>
    </row>
    <row r="17" spans="1:45" ht="19.95" customHeight="1">
      <c r="A17" s="12" t="str">
        <f>'บางบัวทอง-ผลิต'!C26</f>
        <v>บลูเบอร์รี่ 125 กรัม x 36 P</v>
      </c>
      <c r="B17" s="3">
        <v>36</v>
      </c>
      <c r="C17" s="126">
        <f t="shared" si="0"/>
        <v>0</v>
      </c>
      <c r="D17" s="14">
        <f>'บางบัวทอง-ผลิต'!E26</f>
        <v>0</v>
      </c>
      <c r="E17" s="14">
        <f>'บางบัวทอง-ผลิต'!F26</f>
        <v>0</v>
      </c>
      <c r="F17" s="14">
        <f>'บางบัวทอง-ผลิต'!G26</f>
        <v>0</v>
      </c>
      <c r="G17" s="14">
        <f>'บางบัวทอง-ผลิต'!H26</f>
        <v>0</v>
      </c>
      <c r="H17" s="14">
        <f>'บางบัวทอง-ผลิต'!I26</f>
        <v>0</v>
      </c>
      <c r="I17" s="14">
        <f>'บางบัวทอง-ผลิต'!J26</f>
        <v>0</v>
      </c>
      <c r="J17" s="14">
        <f>'บางบัวทอง-ผลิต'!K26</f>
        <v>0</v>
      </c>
      <c r="K17" s="14"/>
      <c r="L17" s="14" t="str">
        <f t="shared" si="1"/>
        <v>0 full, 1 less than half</v>
      </c>
      <c r="M17" s="14"/>
      <c r="N17" s="14"/>
      <c r="O17" s="14"/>
      <c r="P17" s="8">
        <f t="shared" si="2"/>
        <v>0</v>
      </c>
      <c r="Q17" s="9">
        <f t="shared" si="3"/>
        <v>0</v>
      </c>
      <c r="R17" s="10">
        <f t="shared" si="4"/>
        <v>0</v>
      </c>
      <c r="S17" s="8" t="e">
        <f>INT(#REF!/B17)</f>
        <v>#REF!</v>
      </c>
      <c r="T17" s="9" t="e">
        <f>IF(MOD(#REF!,B17)/B17&gt;0.5,1,0)</f>
        <v>#REF!</v>
      </c>
      <c r="U17" s="10" t="e">
        <f>IF(AND(MOD(#REF!,B17)/B17&lt;=0.5,MOD(#REF!,B17)&lt;&gt;0),1,0)</f>
        <v>#REF!</v>
      </c>
      <c r="V17" s="8">
        <f t="shared" si="5"/>
        <v>0</v>
      </c>
      <c r="W17" s="9">
        <f t="shared" si="6"/>
        <v>0</v>
      </c>
      <c r="X17" s="10">
        <f t="shared" si="7"/>
        <v>0</v>
      </c>
      <c r="Y17" s="8">
        <f t="shared" si="8"/>
        <v>0</v>
      </c>
      <c r="Z17" s="9">
        <f t="shared" si="9"/>
        <v>0</v>
      </c>
      <c r="AA17" s="10">
        <f t="shared" si="10"/>
        <v>0</v>
      </c>
      <c r="AB17" s="8">
        <f t="shared" si="11"/>
        <v>0</v>
      </c>
      <c r="AC17" s="9">
        <f t="shared" si="12"/>
        <v>0</v>
      </c>
      <c r="AD17" s="10">
        <f t="shared" si="13"/>
        <v>0</v>
      </c>
      <c r="AE17" s="8" t="e">
        <f>INT(#REF!/B17)</f>
        <v>#REF!</v>
      </c>
      <c r="AF17" s="9" t="e">
        <f>IF(MOD(#REF!,B17)/B17&gt;0.5,1,0)</f>
        <v>#REF!</v>
      </c>
      <c r="AG17" s="10" t="e">
        <f>IF(AND(MOD(#REF!,B17)/B17&lt;=0.5,MOD(#REF!,B17)&lt;&gt;0),1,0)</f>
        <v>#REF!</v>
      </c>
      <c r="AH17" s="8">
        <f t="shared" si="14"/>
        <v>0</v>
      </c>
      <c r="AI17" s="9">
        <f t="shared" si="15"/>
        <v>0</v>
      </c>
      <c r="AJ17" s="10">
        <f t="shared" si="16"/>
        <v>0</v>
      </c>
      <c r="AK17" s="8">
        <f t="shared" si="17"/>
        <v>0</v>
      </c>
      <c r="AL17" s="9">
        <f t="shared" si="18"/>
        <v>0</v>
      </c>
      <c r="AM17" s="10">
        <f t="shared" si="19"/>
        <v>0</v>
      </c>
      <c r="AN17" s="8">
        <f t="shared" si="20"/>
        <v>0</v>
      </c>
      <c r="AO17" s="9">
        <f t="shared" si="21"/>
        <v>0</v>
      </c>
      <c r="AP17" s="10">
        <f t="shared" si="22"/>
        <v>0</v>
      </c>
      <c r="AQ17" s="8">
        <f t="shared" si="23"/>
        <v>0</v>
      </c>
      <c r="AR17" s="9">
        <f t="shared" si="24"/>
        <v>0</v>
      </c>
      <c r="AS17" s="10">
        <f t="shared" si="25"/>
        <v>0</v>
      </c>
    </row>
    <row r="18" spans="1:45" ht="19.95" customHeight="1">
      <c r="A18" s="12" t="str">
        <f>'บางบัวทอง-ผลิต'!C28</f>
        <v>องุ่นดำไร้เมล็ด 300 กรัม x20P</v>
      </c>
      <c r="B18" s="3">
        <v>20</v>
      </c>
      <c r="C18" s="126" cm="1">
        <f t="array" ref="C18">SUMPRODUCT(ROUNDUP(D18:K18/B18, 0))</f>
        <v>0</v>
      </c>
      <c r="D18" s="14">
        <f>'บางบัวทอง-ผลิต'!E28</f>
        <v>0</v>
      </c>
      <c r="E18" s="14">
        <f>'บางบัวทอง-ผลิต'!F28</f>
        <v>0</v>
      </c>
      <c r="F18" s="14">
        <f>'บางบัวทอง-ผลิต'!G28</f>
        <v>0</v>
      </c>
      <c r="G18" s="14">
        <f>'บางบัวทอง-ผลิต'!H28</f>
        <v>0</v>
      </c>
      <c r="H18" s="14">
        <f>'บางบัวทอง-ผลิต'!I28</f>
        <v>0</v>
      </c>
      <c r="I18" s="14">
        <f>'บางบัวทอง-ผลิต'!J28</f>
        <v>0</v>
      </c>
      <c r="J18" s="14">
        <f>'บางบัวทอง-ผลิต'!K28</f>
        <v>0</v>
      </c>
      <c r="K18" s="14"/>
      <c r="L18" s="14" t="str">
        <f t="shared" si="1"/>
        <v>0 full, 1 less than half</v>
      </c>
      <c r="M18" s="14"/>
      <c r="N18" s="14"/>
      <c r="O18" s="14"/>
      <c r="P18" s="8">
        <f t="shared" si="2"/>
        <v>0</v>
      </c>
      <c r="Q18" s="9">
        <f t="shared" si="3"/>
        <v>0</v>
      </c>
      <c r="R18" s="10">
        <f t="shared" si="4"/>
        <v>0</v>
      </c>
      <c r="S18" s="8" t="e">
        <f>INT(#REF!/B18)</f>
        <v>#REF!</v>
      </c>
      <c r="T18" s="9" t="e">
        <f>IF(MOD(#REF!,B18)/B18&gt;0.5,1,0)</f>
        <v>#REF!</v>
      </c>
      <c r="U18" s="10" t="e">
        <f>IF(AND(MOD(#REF!,B18)/B18&lt;=0.5,MOD(#REF!,B18)&lt;&gt;0),1,0)</f>
        <v>#REF!</v>
      </c>
      <c r="V18" s="8">
        <f t="shared" si="5"/>
        <v>0</v>
      </c>
      <c r="W18" s="9">
        <f t="shared" si="6"/>
        <v>0</v>
      </c>
      <c r="X18" s="10">
        <f t="shared" si="7"/>
        <v>0</v>
      </c>
      <c r="Y18" s="8">
        <f t="shared" si="8"/>
        <v>0</v>
      </c>
      <c r="Z18" s="9">
        <f t="shared" si="9"/>
        <v>0</v>
      </c>
      <c r="AA18" s="10">
        <f t="shared" si="10"/>
        <v>0</v>
      </c>
      <c r="AB18" s="8">
        <f t="shared" si="11"/>
        <v>0</v>
      </c>
      <c r="AC18" s="9">
        <f t="shared" si="12"/>
        <v>0</v>
      </c>
      <c r="AD18" s="10">
        <f t="shared" si="13"/>
        <v>0</v>
      </c>
      <c r="AE18" s="8" t="e">
        <f>INT(#REF!/B18)</f>
        <v>#REF!</v>
      </c>
      <c r="AF18" s="9" t="e">
        <f>IF(MOD(#REF!,B18)/B18&gt;0.5,1,0)</f>
        <v>#REF!</v>
      </c>
      <c r="AG18" s="10" t="e">
        <f>IF(AND(MOD(#REF!,B18)/B18&lt;=0.5,MOD(#REF!,B18)&lt;&gt;0),1,0)</f>
        <v>#REF!</v>
      </c>
      <c r="AH18" s="8">
        <f t="shared" si="14"/>
        <v>0</v>
      </c>
      <c r="AI18" s="9">
        <f t="shared" si="15"/>
        <v>0</v>
      </c>
      <c r="AJ18" s="10">
        <f t="shared" si="16"/>
        <v>0</v>
      </c>
      <c r="AK18" s="8">
        <f t="shared" si="17"/>
        <v>0</v>
      </c>
      <c r="AL18" s="9">
        <f t="shared" si="18"/>
        <v>0</v>
      </c>
      <c r="AM18" s="10">
        <f t="shared" si="19"/>
        <v>0</v>
      </c>
      <c r="AN18" s="8">
        <f t="shared" si="20"/>
        <v>0</v>
      </c>
      <c r="AO18" s="9">
        <f t="shared" si="21"/>
        <v>0</v>
      </c>
      <c r="AP18" s="10">
        <f t="shared" si="22"/>
        <v>0</v>
      </c>
      <c r="AQ18" s="8">
        <f t="shared" si="23"/>
        <v>0</v>
      </c>
      <c r="AR18" s="9">
        <f t="shared" si="24"/>
        <v>0</v>
      </c>
      <c r="AS18" s="10">
        <f t="shared" si="25"/>
        <v>0</v>
      </c>
    </row>
    <row r="19" spans="1:45" ht="19.95" customHeight="1">
      <c r="A19" s="127" t="s">
        <v>136</v>
      </c>
      <c r="B19" s="3">
        <v>15</v>
      </c>
      <c r="C19" s="126" cm="1">
        <f t="array" ref="C19">SUMPRODUCT(ROUNDUP(D19:K19/B19, 0))</f>
        <v>0</v>
      </c>
      <c r="D19" s="84">
        <f>'บางบัวทอง-ผลิต'!E30</f>
        <v>0</v>
      </c>
      <c r="E19" s="84">
        <f>'บางบัวทอง-ผลิต'!F30</f>
        <v>0</v>
      </c>
      <c r="F19" s="84">
        <f>'บางบัวทอง-ผลิต'!G30</f>
        <v>0</v>
      </c>
      <c r="G19" s="84">
        <f>'บางบัวทอง-ผลิต'!H30</f>
        <v>0</v>
      </c>
      <c r="H19" s="84">
        <f>'บางบัวทอง-ผลิต'!I30</f>
        <v>0</v>
      </c>
      <c r="I19" s="84">
        <f>'บางบัวทอง-ผลิต'!J30</f>
        <v>0</v>
      </c>
      <c r="J19" s="84">
        <f>'บางบัวทอง-ผลิต'!K30</f>
        <v>0</v>
      </c>
      <c r="K19" s="14"/>
      <c r="L19" s="14"/>
      <c r="M19" s="14"/>
      <c r="N19" s="14"/>
      <c r="O19" s="14"/>
      <c r="P19" s="8"/>
      <c r="Q19" s="9"/>
      <c r="R19" s="10"/>
      <c r="S19" s="8"/>
      <c r="T19" s="9"/>
      <c r="U19" s="10"/>
      <c r="V19" s="8"/>
      <c r="W19" s="9"/>
      <c r="X19" s="10"/>
      <c r="Y19" s="8"/>
      <c r="Z19" s="9"/>
      <c r="AA19" s="10"/>
      <c r="AB19" s="8"/>
      <c r="AC19" s="9"/>
      <c r="AD19" s="10"/>
      <c r="AE19" s="8"/>
      <c r="AF19" s="9"/>
      <c r="AG19" s="10"/>
      <c r="AH19" s="8"/>
      <c r="AI19" s="9"/>
      <c r="AJ19" s="10"/>
      <c r="AK19" s="8"/>
      <c r="AL19" s="9"/>
      <c r="AM19" s="10"/>
      <c r="AN19" s="8"/>
      <c r="AO19" s="9"/>
      <c r="AP19" s="10"/>
      <c r="AQ19" s="8">
        <f t="shared" si="23"/>
        <v>0</v>
      </c>
      <c r="AR19" s="9">
        <f t="shared" si="24"/>
        <v>0</v>
      </c>
      <c r="AS19" s="10">
        <f t="shared" si="25"/>
        <v>0</v>
      </c>
    </row>
    <row r="20" spans="1:45" ht="19.95" customHeight="1">
      <c r="A20" s="127" t="str">
        <f>'บางบัวทอง-ผลิต'!C32</f>
        <v>แอปเปิ้ลแดงวอชิงตันลูกเดี่ยว x 45 P</v>
      </c>
      <c r="B20" s="3">
        <v>45</v>
      </c>
      <c r="C20" s="126" cm="1">
        <f t="array" ref="C20">SUMPRODUCT(ROUNDUP(D20:K20/B20, 0))</f>
        <v>0</v>
      </c>
      <c r="D20" s="84">
        <f>'บางบัวทอง-ผลิต'!E32</f>
        <v>0</v>
      </c>
      <c r="E20" s="84">
        <f>'บางบัวทอง-ผลิต'!F32</f>
        <v>0</v>
      </c>
      <c r="F20" s="84">
        <f>'บางบัวทอง-ผลิต'!G32</f>
        <v>0</v>
      </c>
      <c r="G20" s="84">
        <f>'บางบัวทอง-ผลิต'!H32</f>
        <v>0</v>
      </c>
      <c r="H20" s="84">
        <f>'บางบัวทอง-ผลิต'!I32</f>
        <v>0</v>
      </c>
      <c r="I20" s="84">
        <f>'บางบัวทอง-ผลิต'!J32</f>
        <v>0</v>
      </c>
      <c r="J20" s="84">
        <f>'บางบัวทอง-ผลิต'!K32</f>
        <v>0</v>
      </c>
      <c r="K20" s="14"/>
      <c r="L20" s="14" t="str">
        <f t="shared" ref="L20:L26" si="52">INT(SUM(D20:K20)/B20) &amp; " full, " &amp; IF(MOD(SUM(D20:K20), B20)/B20 &lt;= 0.5, "1 less than half", IF(MOD(SUM(D20:K20), B20)/B20 &gt; 0.5, "1 more than half", ""))</f>
        <v>0 full, 1 less than half</v>
      </c>
      <c r="M20" s="14"/>
      <c r="N20" s="14"/>
      <c r="O20" s="14"/>
      <c r="P20" s="8">
        <f t="shared" ref="P20:P26" si="53">INT(D20/B20)</f>
        <v>0</v>
      </c>
      <c r="Q20" s="9">
        <f t="shared" ref="Q20:Q26" si="54">IF(MOD(D20,B20)/B20&gt;0.5,1,0)</f>
        <v>0</v>
      </c>
      <c r="R20" s="10">
        <f t="shared" ref="R20:R26" si="55">IF(AND(MOD(D20,B20)/B20&lt;=0.5,MOD(D20,B20)&lt;&gt;0),1,0)</f>
        <v>0</v>
      </c>
      <c r="S20" s="8" t="e">
        <f>INT(#REF!/B20)</f>
        <v>#REF!</v>
      </c>
      <c r="T20" s="9" t="e">
        <f>IF(MOD(#REF!,B20)/B20&gt;0.5,1,0)</f>
        <v>#REF!</v>
      </c>
      <c r="U20" s="10" t="e">
        <f>IF(AND(MOD(#REF!,B20)/B20&lt;=0.5,MOD(#REF!,B20)&lt;&gt;0),1,0)</f>
        <v>#REF!</v>
      </c>
      <c r="V20" s="8">
        <f t="shared" ref="V20:V26" si="56">INT(E20/B20)</f>
        <v>0</v>
      </c>
      <c r="W20" s="9">
        <f t="shared" ref="W20:W26" si="57">IF(MOD(E20,B20)/B20&gt;0.5,1,0)</f>
        <v>0</v>
      </c>
      <c r="X20" s="10">
        <f t="shared" ref="X20:X26" si="58">IF(AND(MOD(E20,B20)/B20&lt;=0.5,MOD(E20,B20)&lt;&gt;0),1,0)</f>
        <v>0</v>
      </c>
      <c r="Y20" s="8">
        <f t="shared" ref="Y20:Y26" si="59">INT(F20/B20)</f>
        <v>0</v>
      </c>
      <c r="Z20" s="9">
        <f t="shared" ref="Z20:Z26" si="60">IF(MOD(F20,B20)/B20&gt;0.5,1,0)</f>
        <v>0</v>
      </c>
      <c r="AA20" s="10">
        <f t="shared" ref="AA20:AA26" si="61">IF(AND(MOD(F20,B20)/B20&lt;=0.5,MOD(F20,B20)&lt;&gt;0),1,0)</f>
        <v>0</v>
      </c>
      <c r="AB20" s="8">
        <f t="shared" ref="AB20:AB26" si="62">INT(G20/B20)</f>
        <v>0</v>
      </c>
      <c r="AC20" s="9">
        <f t="shared" ref="AC20:AC26" si="63">IF(MOD(G20,B20)/B20&gt;0.5,1,0)</f>
        <v>0</v>
      </c>
      <c r="AD20" s="10">
        <f t="shared" ref="AD20:AD26" si="64">IF(AND(MOD(G20,B20)/B20&lt;=0.5,MOD(G20,B20)&lt;&gt;0),1,0)</f>
        <v>0</v>
      </c>
      <c r="AE20" s="8" t="e">
        <f>INT(#REF!/B20)</f>
        <v>#REF!</v>
      </c>
      <c r="AF20" s="9" t="e">
        <f>IF(MOD(#REF!,B20)/B20&gt;0.5,1,0)</f>
        <v>#REF!</v>
      </c>
      <c r="AG20" s="10" t="e">
        <f>IF(AND(MOD(#REF!,B20)/B20&lt;=0.5,MOD(#REF!,B20)&lt;&gt;0),1,0)</f>
        <v>#REF!</v>
      </c>
      <c r="AH20" s="8">
        <f t="shared" ref="AH20:AH26" si="65">INT(H20/B20)</f>
        <v>0</v>
      </c>
      <c r="AI20" s="9">
        <f t="shared" ref="AI20:AI26" si="66">IF(MOD(H20,B20)/B20&gt;0.5,1,0)</f>
        <v>0</v>
      </c>
      <c r="AJ20" s="10">
        <f t="shared" ref="AJ20:AJ26" si="67">IF(AND(MOD(H20,B20)/B20&lt;=0.5,MOD(H20,B20)&lt;&gt;0),1,0)</f>
        <v>0</v>
      </c>
      <c r="AK20" s="8">
        <f t="shared" ref="AK20:AK26" si="68">INT(I20/B20)</f>
        <v>0</v>
      </c>
      <c r="AL20" s="9">
        <f t="shared" ref="AL20:AL26" si="69">IF(MOD(I20,B20)/B20&gt;0.5,1,0)</f>
        <v>0</v>
      </c>
      <c r="AM20" s="10">
        <f t="shared" ref="AM20:AM26" si="70">IF(AND(MOD(I20,B20)/B20&lt;=0.5,MOD(I20,B20)&lt;&gt;0),1,0)</f>
        <v>0</v>
      </c>
      <c r="AN20" s="8">
        <f t="shared" ref="AN20:AN24" si="71">INT(J20/B20)</f>
        <v>0</v>
      </c>
      <c r="AO20" s="9">
        <f t="shared" ref="AO20:AO24" si="72">IF(MOD(J20,B20)/B20&gt;0.5,1,0)</f>
        <v>0</v>
      </c>
      <c r="AP20" s="10">
        <f t="shared" ref="AP20:AP24" si="73">IF(AND(MOD(J20,B20)/B20&lt;=0.5,MOD(J20,B20)&lt;&gt;0),1,0)</f>
        <v>0</v>
      </c>
      <c r="AQ20" s="8">
        <f t="shared" ref="AQ20:AQ23" si="74">INT(K20/B20)</f>
        <v>0</v>
      </c>
      <c r="AR20" s="9">
        <f t="shared" ref="AR20:AR23" si="75">IF(MOD(K20,B20)/B20&gt;0.5,1,0)</f>
        <v>0</v>
      </c>
      <c r="AS20" s="10">
        <f t="shared" ref="AS20:AS23" si="76">IF(AND(MOD(K20,B20)/B20&lt;=0.5,MOD(K20,B20)&lt;&gt;0),1,0)</f>
        <v>0</v>
      </c>
    </row>
    <row r="21" spans="1:45" ht="19.95" customHeight="1">
      <c r="A21" s="127" t="s">
        <v>141</v>
      </c>
      <c r="B21" s="3">
        <v>15</v>
      </c>
      <c r="C21" s="126" cm="1">
        <f t="array" ref="C21">SUMPRODUCT(ROUNDUP(D21:K21/B21, 0))</f>
        <v>0</v>
      </c>
      <c r="D21" s="84">
        <f>'บางบัวทอง-ผลิต'!E34</f>
        <v>0</v>
      </c>
      <c r="E21" s="84">
        <f>'บางบัวทอง-ผลิต'!F34</f>
        <v>0</v>
      </c>
      <c r="F21" s="84">
        <f>'บางบัวทอง-ผลิต'!G34</f>
        <v>0</v>
      </c>
      <c r="G21" s="84">
        <f>'บางบัวทอง-ผลิต'!H34</f>
        <v>0</v>
      </c>
      <c r="H21" s="84">
        <f>'บางบัวทอง-ผลิต'!I34</f>
        <v>0</v>
      </c>
      <c r="I21" s="84">
        <f>'บางบัวทอง-ผลิต'!J34</f>
        <v>0</v>
      </c>
      <c r="J21" s="84">
        <f>'บางบัวทอง-ผลิต'!K34</f>
        <v>0</v>
      </c>
      <c r="K21" s="14"/>
      <c r="L21" s="14" t="str">
        <f t="shared" si="52"/>
        <v>0 full, 1 less than half</v>
      </c>
      <c r="M21" s="14"/>
      <c r="N21" s="14"/>
      <c r="O21" s="14"/>
      <c r="P21" s="8">
        <f t="shared" si="53"/>
        <v>0</v>
      </c>
      <c r="Q21" s="9">
        <f t="shared" si="54"/>
        <v>0</v>
      </c>
      <c r="R21" s="10">
        <f t="shared" si="55"/>
        <v>0</v>
      </c>
      <c r="S21" s="8" t="e">
        <f>INT(#REF!/B21)</f>
        <v>#REF!</v>
      </c>
      <c r="T21" s="9" t="e">
        <f>IF(MOD(#REF!,B21)/B21&gt;0.5,1,0)</f>
        <v>#REF!</v>
      </c>
      <c r="U21" s="10" t="e">
        <f>IF(AND(MOD(#REF!,B21)/B21&lt;=0.5,MOD(#REF!,B21)&lt;&gt;0),1,0)</f>
        <v>#REF!</v>
      </c>
      <c r="V21" s="8">
        <f t="shared" si="56"/>
        <v>0</v>
      </c>
      <c r="W21" s="9">
        <f t="shared" si="57"/>
        <v>0</v>
      </c>
      <c r="X21" s="10">
        <f t="shared" si="58"/>
        <v>0</v>
      </c>
      <c r="Y21" s="8">
        <f t="shared" si="59"/>
        <v>0</v>
      </c>
      <c r="Z21" s="9">
        <f t="shared" si="60"/>
        <v>0</v>
      </c>
      <c r="AA21" s="10">
        <f t="shared" si="61"/>
        <v>0</v>
      </c>
      <c r="AB21" s="8">
        <f t="shared" si="62"/>
        <v>0</v>
      </c>
      <c r="AC21" s="9">
        <f t="shared" si="63"/>
        <v>0</v>
      </c>
      <c r="AD21" s="10">
        <f t="shared" si="64"/>
        <v>0</v>
      </c>
      <c r="AE21" s="8" t="e">
        <f>INT(#REF!/B21)</f>
        <v>#REF!</v>
      </c>
      <c r="AF21" s="9" t="e">
        <f>IF(MOD(#REF!,B21)/B21&gt;0.5,1,0)</f>
        <v>#REF!</v>
      </c>
      <c r="AG21" s="10" t="e">
        <f>IF(AND(MOD(#REF!,B21)/B21&lt;=0.5,MOD(#REF!,B21)&lt;&gt;0),1,0)</f>
        <v>#REF!</v>
      </c>
      <c r="AH21" s="8">
        <f t="shared" si="65"/>
        <v>0</v>
      </c>
      <c r="AI21" s="9">
        <f t="shared" si="66"/>
        <v>0</v>
      </c>
      <c r="AJ21" s="10">
        <f t="shared" si="67"/>
        <v>0</v>
      </c>
      <c r="AK21" s="8">
        <f t="shared" si="68"/>
        <v>0</v>
      </c>
      <c r="AL21" s="9">
        <f t="shared" si="69"/>
        <v>0</v>
      </c>
      <c r="AM21" s="10">
        <f t="shared" si="70"/>
        <v>0</v>
      </c>
      <c r="AN21" s="8">
        <f t="shared" ref="AN21" si="77">INT(J21/B21)</f>
        <v>0</v>
      </c>
      <c r="AO21" s="9">
        <f t="shared" ref="AO21" si="78">IF(MOD(J21,B21)/B21&gt;0.5,1,0)</f>
        <v>0</v>
      </c>
      <c r="AP21" s="10">
        <f t="shared" ref="AP21" si="79">IF(AND(MOD(J21,B21)/B21&lt;=0.5,MOD(J21,B21)&lt;&gt;0),1,0)</f>
        <v>0</v>
      </c>
      <c r="AQ21" s="8">
        <f t="shared" ref="AQ21" si="80">INT(K21/B21)</f>
        <v>0</v>
      </c>
      <c r="AR21" s="9">
        <f t="shared" ref="AR21" si="81">IF(MOD(K21,B21)/B21&gt;0.5,1,0)</f>
        <v>0</v>
      </c>
      <c r="AS21" s="10">
        <f t="shared" ref="AS21" si="82">IF(AND(MOD(K21,B21)/B21&lt;=0.5,MOD(K21,B21)&lt;&gt;0),1,0)</f>
        <v>0</v>
      </c>
    </row>
    <row r="22" spans="1:45" ht="19.95" customHeight="1">
      <c r="A22" s="127" t="str">
        <f>'บางบัวทอง-ผลิต'!C36</f>
        <v>แอปเปิ้ลเจ้าหญิง 200 g. x 27 p</v>
      </c>
      <c r="B22" s="3">
        <v>27</v>
      </c>
      <c r="C22" s="126" cm="1">
        <f t="array" ref="C22">SUMPRODUCT(ROUNDUP(D22:K22/B22, 0))</f>
        <v>0</v>
      </c>
      <c r="D22" s="84">
        <f>'บางบัวทอง-ผลิต'!E36</f>
        <v>0</v>
      </c>
      <c r="E22" s="84">
        <f>'บางบัวทอง-ผลิต'!F36</f>
        <v>0</v>
      </c>
      <c r="F22" s="84">
        <f>'บางบัวทอง-ผลิต'!G36</f>
        <v>0</v>
      </c>
      <c r="G22" s="84">
        <f>'บางบัวทอง-ผลิต'!H36</f>
        <v>0</v>
      </c>
      <c r="H22" s="84">
        <f>'บางบัวทอง-ผลิต'!I36</f>
        <v>0</v>
      </c>
      <c r="I22" s="84">
        <f>'บางบัวทอง-ผลิต'!J36</f>
        <v>0</v>
      </c>
      <c r="J22" s="84">
        <f>'บางบัวทอง-ผลิต'!K36</f>
        <v>0</v>
      </c>
      <c r="K22" s="14"/>
      <c r="L22" s="14" t="str">
        <f t="shared" si="52"/>
        <v>0 full, 1 less than half</v>
      </c>
      <c r="M22" s="14"/>
      <c r="N22" s="14"/>
      <c r="O22" s="14"/>
      <c r="P22" s="8">
        <f t="shared" si="53"/>
        <v>0</v>
      </c>
      <c r="Q22" s="9">
        <f t="shared" si="54"/>
        <v>0</v>
      </c>
      <c r="R22" s="10">
        <f t="shared" si="55"/>
        <v>0</v>
      </c>
      <c r="S22" s="8"/>
      <c r="T22" s="9"/>
      <c r="U22" s="10"/>
      <c r="V22" s="8">
        <f t="shared" si="56"/>
        <v>0</v>
      </c>
      <c r="W22" s="9">
        <f t="shared" si="57"/>
        <v>0</v>
      </c>
      <c r="X22" s="10">
        <f t="shared" si="58"/>
        <v>0</v>
      </c>
      <c r="Y22" s="8">
        <f t="shared" si="59"/>
        <v>0</v>
      </c>
      <c r="Z22" s="9">
        <f t="shared" si="60"/>
        <v>0</v>
      </c>
      <c r="AA22" s="10">
        <f t="shared" si="61"/>
        <v>0</v>
      </c>
      <c r="AB22" s="8">
        <f t="shared" si="62"/>
        <v>0</v>
      </c>
      <c r="AC22" s="9">
        <f t="shared" si="63"/>
        <v>0</v>
      </c>
      <c r="AD22" s="10">
        <f t="shared" si="64"/>
        <v>0</v>
      </c>
      <c r="AE22" s="8"/>
      <c r="AF22" s="9"/>
      <c r="AG22" s="10"/>
      <c r="AH22" s="8">
        <f t="shared" si="65"/>
        <v>0</v>
      </c>
      <c r="AI22" s="9">
        <f t="shared" si="66"/>
        <v>0</v>
      </c>
      <c r="AJ22" s="10">
        <f t="shared" si="67"/>
        <v>0</v>
      </c>
      <c r="AK22" s="8">
        <f t="shared" si="68"/>
        <v>0</v>
      </c>
      <c r="AL22" s="9">
        <f t="shared" si="69"/>
        <v>0</v>
      </c>
      <c r="AM22" s="10">
        <f t="shared" si="70"/>
        <v>0</v>
      </c>
      <c r="AN22" s="8">
        <f t="shared" si="71"/>
        <v>0</v>
      </c>
      <c r="AO22" s="9">
        <f t="shared" si="72"/>
        <v>0</v>
      </c>
      <c r="AP22" s="10">
        <f t="shared" si="73"/>
        <v>0</v>
      </c>
      <c r="AQ22" s="8">
        <f t="shared" si="74"/>
        <v>0</v>
      </c>
      <c r="AR22" s="9">
        <f t="shared" si="75"/>
        <v>0</v>
      </c>
      <c r="AS22" s="10">
        <f t="shared" si="76"/>
        <v>0</v>
      </c>
    </row>
    <row r="23" spans="1:45" ht="19.95" customHeight="1">
      <c r="A23" s="127" t="s">
        <v>135</v>
      </c>
      <c r="B23" s="3">
        <v>15</v>
      </c>
      <c r="C23" s="126" cm="1">
        <f t="array" ref="C23">SUMPRODUCT(ROUNDUP(D23:K23/B23, 0))</f>
        <v>0</v>
      </c>
      <c r="D23" s="84">
        <f>'บางบัวทอง-ผลิต'!E38</f>
        <v>0</v>
      </c>
      <c r="E23" s="84">
        <f>'บางบัวทอง-ผลิต'!F38</f>
        <v>0</v>
      </c>
      <c r="F23" s="84">
        <f>'บางบัวทอง-ผลิต'!G38</f>
        <v>0</v>
      </c>
      <c r="G23" s="84">
        <f>'บางบัวทอง-ผลิต'!H38</f>
        <v>0</v>
      </c>
      <c r="H23" s="84">
        <f>'บางบัวทอง-ผลิต'!I38</f>
        <v>0</v>
      </c>
      <c r="I23" s="84">
        <f>'บางบัวทอง-ผลิต'!J38</f>
        <v>0</v>
      </c>
      <c r="J23" s="84">
        <f>'บางบัวทอง-ผลิต'!K38</f>
        <v>0</v>
      </c>
      <c r="K23" s="14"/>
      <c r="L23" s="14"/>
      <c r="M23" s="14"/>
      <c r="N23" s="14"/>
      <c r="O23" s="14"/>
      <c r="P23" s="8"/>
      <c r="Q23" s="9"/>
      <c r="R23" s="10"/>
      <c r="S23" s="8"/>
      <c r="T23" s="9"/>
      <c r="U23" s="10"/>
      <c r="V23" s="8"/>
      <c r="W23" s="9"/>
      <c r="X23" s="10"/>
      <c r="Y23" s="8"/>
      <c r="Z23" s="9"/>
      <c r="AA23" s="10"/>
      <c r="AB23" s="8"/>
      <c r="AC23" s="9"/>
      <c r="AD23" s="10"/>
      <c r="AE23" s="8"/>
      <c r="AF23" s="9"/>
      <c r="AG23" s="10"/>
      <c r="AH23" s="8"/>
      <c r="AI23" s="9"/>
      <c r="AJ23" s="10"/>
      <c r="AK23" s="8"/>
      <c r="AL23" s="9"/>
      <c r="AM23" s="10"/>
      <c r="AN23" s="8"/>
      <c r="AO23" s="9"/>
      <c r="AP23" s="10"/>
      <c r="AQ23" s="8">
        <f t="shared" si="74"/>
        <v>0</v>
      </c>
      <c r="AR23" s="9">
        <f t="shared" si="75"/>
        <v>0</v>
      </c>
      <c r="AS23" s="10">
        <f t="shared" si="76"/>
        <v>0</v>
      </c>
    </row>
    <row r="24" spans="1:45" ht="19.95" customHeight="1">
      <c r="A24" s="127" t="str">
        <f>'บางบัวทอง-ผลิต'!C40</f>
        <v>ลูกไหนจิ๋ว 200 g. x 27 p</v>
      </c>
      <c r="B24" s="3">
        <v>27</v>
      </c>
      <c r="C24" s="126" cm="1">
        <f t="array" ref="C24">SUMPRODUCT(ROUNDUP(D24:K24/B24, 0))</f>
        <v>0</v>
      </c>
      <c r="D24" s="84">
        <f>'บางบัวทอง-ผลิต'!E40</f>
        <v>0</v>
      </c>
      <c r="E24" s="84">
        <f>'บางบัวทอง-ผลิต'!F40</f>
        <v>0</v>
      </c>
      <c r="F24" s="84">
        <f>'บางบัวทอง-ผลิต'!G40</f>
        <v>0</v>
      </c>
      <c r="G24" s="84">
        <f>'บางบัวทอง-ผลิต'!H40</f>
        <v>0</v>
      </c>
      <c r="H24" s="84">
        <f>'บางบัวทอง-ผลิต'!I40</f>
        <v>0</v>
      </c>
      <c r="I24" s="84">
        <f>'บางบัวทอง-ผลิต'!J40</f>
        <v>0</v>
      </c>
      <c r="J24" s="84">
        <f>'บางบัวทอง-ผลิต'!K40</f>
        <v>0</v>
      </c>
      <c r="K24" s="14"/>
      <c r="L24" s="14" t="str">
        <f t="shared" si="52"/>
        <v>0 full, 1 less than half</v>
      </c>
      <c r="M24" s="14"/>
      <c r="N24" s="14"/>
      <c r="O24" s="14"/>
      <c r="P24" s="8">
        <f t="shared" si="53"/>
        <v>0</v>
      </c>
      <c r="Q24" s="9">
        <f t="shared" si="54"/>
        <v>0</v>
      </c>
      <c r="R24" s="10">
        <f t="shared" si="55"/>
        <v>0</v>
      </c>
      <c r="S24" s="8"/>
      <c r="T24" s="9"/>
      <c r="U24" s="10"/>
      <c r="V24" s="8">
        <f t="shared" si="56"/>
        <v>0</v>
      </c>
      <c r="W24" s="9">
        <f t="shared" si="57"/>
        <v>0</v>
      </c>
      <c r="X24" s="10">
        <f t="shared" si="58"/>
        <v>0</v>
      </c>
      <c r="Y24" s="8">
        <f t="shared" si="59"/>
        <v>0</v>
      </c>
      <c r="Z24" s="9">
        <f t="shared" si="60"/>
        <v>0</v>
      </c>
      <c r="AA24" s="10">
        <f t="shared" si="61"/>
        <v>0</v>
      </c>
      <c r="AB24" s="8">
        <f t="shared" si="62"/>
        <v>0</v>
      </c>
      <c r="AC24" s="9">
        <f t="shared" si="63"/>
        <v>0</v>
      </c>
      <c r="AD24" s="10">
        <f t="shared" si="64"/>
        <v>0</v>
      </c>
      <c r="AE24" s="8"/>
      <c r="AF24" s="9"/>
      <c r="AG24" s="10"/>
      <c r="AH24" s="8">
        <f t="shared" si="65"/>
        <v>0</v>
      </c>
      <c r="AI24" s="9">
        <f t="shared" si="66"/>
        <v>0</v>
      </c>
      <c r="AJ24" s="10">
        <f t="shared" si="67"/>
        <v>0</v>
      </c>
      <c r="AK24" s="8">
        <f t="shared" si="68"/>
        <v>0</v>
      </c>
      <c r="AL24" s="9">
        <f t="shared" si="69"/>
        <v>0</v>
      </c>
      <c r="AM24" s="10">
        <f t="shared" si="70"/>
        <v>0</v>
      </c>
      <c r="AN24" s="8">
        <f t="shared" si="71"/>
        <v>0</v>
      </c>
      <c r="AO24" s="9">
        <f t="shared" si="72"/>
        <v>0</v>
      </c>
      <c r="AP24" s="10">
        <f t="shared" si="73"/>
        <v>0</v>
      </c>
      <c r="AQ24" s="8">
        <f t="shared" ref="AQ24" si="83">INT(K24/B24)</f>
        <v>0</v>
      </c>
      <c r="AR24" s="9">
        <f t="shared" ref="AR24" si="84">IF(MOD(K24,B24)/B24&gt;0.5,1,0)</f>
        <v>0</v>
      </c>
      <c r="AS24" s="10">
        <f t="shared" ref="AS24" si="85">IF(AND(MOD(K24,B24)/B24&lt;=0.5,MOD(K24,B24)&lt;&gt;0),1,0)</f>
        <v>0</v>
      </c>
    </row>
    <row r="25" spans="1:45" ht="19.95" customHeight="1">
      <c r="A25" s="128" t="s">
        <v>62</v>
      </c>
      <c r="B25" s="3">
        <v>20</v>
      </c>
      <c r="C25" s="126" cm="1">
        <f t="array" ref="C25">SUMPRODUCT(ROUNDUP(D25:K25/B25, 0))</f>
        <v>0</v>
      </c>
      <c r="D25" s="84">
        <f>'บางบัวทอง-ผลิต'!E42</f>
        <v>0</v>
      </c>
      <c r="E25" s="84">
        <f>'บางบัวทอง-ผลิต'!F42</f>
        <v>0</v>
      </c>
      <c r="F25" s="84">
        <f>'บางบัวทอง-ผลิต'!G42</f>
        <v>0</v>
      </c>
      <c r="G25" s="84">
        <f>'บางบัวทอง-ผลิต'!H42</f>
        <v>0</v>
      </c>
      <c r="H25" s="84">
        <f>'บางบัวทอง-ผลิต'!I42</f>
        <v>0</v>
      </c>
      <c r="I25" s="84">
        <f>'บางบัวทอง-ผลิต'!J42</f>
        <v>0</v>
      </c>
      <c r="J25" s="84">
        <f>'บางบัวทอง-ผลิต'!K42</f>
        <v>0</v>
      </c>
      <c r="K25" s="14"/>
      <c r="L25" s="14" t="str">
        <f t="shared" si="52"/>
        <v>0 full, 1 less than half</v>
      </c>
      <c r="M25" s="14"/>
      <c r="N25" s="14"/>
      <c r="O25" s="14"/>
      <c r="P25" s="8">
        <f t="shared" si="53"/>
        <v>0</v>
      </c>
      <c r="Q25" s="9">
        <f t="shared" si="54"/>
        <v>0</v>
      </c>
      <c r="R25" s="10">
        <f t="shared" si="55"/>
        <v>0</v>
      </c>
      <c r="S25" s="8"/>
      <c r="T25" s="9"/>
      <c r="U25" s="10"/>
      <c r="V25" s="8">
        <f t="shared" si="56"/>
        <v>0</v>
      </c>
      <c r="W25" s="9">
        <f t="shared" si="57"/>
        <v>0</v>
      </c>
      <c r="X25" s="10">
        <f t="shared" si="58"/>
        <v>0</v>
      </c>
      <c r="Y25" s="8">
        <f t="shared" si="59"/>
        <v>0</v>
      </c>
      <c r="Z25" s="9">
        <f t="shared" si="60"/>
        <v>0</v>
      </c>
      <c r="AA25" s="10">
        <f t="shared" si="61"/>
        <v>0</v>
      </c>
      <c r="AB25" s="8">
        <f t="shared" si="62"/>
        <v>0</v>
      </c>
      <c r="AC25" s="9">
        <f t="shared" si="63"/>
        <v>0</v>
      </c>
      <c r="AD25" s="10">
        <f t="shared" si="64"/>
        <v>0</v>
      </c>
      <c r="AE25" s="8"/>
      <c r="AF25" s="9"/>
      <c r="AG25" s="10"/>
      <c r="AH25" s="8">
        <f t="shared" si="65"/>
        <v>0</v>
      </c>
      <c r="AI25" s="9">
        <f t="shared" si="66"/>
        <v>0</v>
      </c>
      <c r="AJ25" s="10">
        <f t="shared" si="67"/>
        <v>0</v>
      </c>
      <c r="AK25" s="8">
        <f t="shared" si="68"/>
        <v>0</v>
      </c>
      <c r="AL25" s="9">
        <f t="shared" si="69"/>
        <v>0</v>
      </c>
      <c r="AM25" s="10">
        <f t="shared" si="70"/>
        <v>0</v>
      </c>
      <c r="AN25" s="8">
        <f t="shared" ref="AN25" si="86">INT(J25/B25)</f>
        <v>0</v>
      </c>
      <c r="AO25" s="9">
        <f t="shared" ref="AO25" si="87">IF(MOD(J25,B25)/B25&gt;0.5,1,0)</f>
        <v>0</v>
      </c>
      <c r="AP25" s="10">
        <f t="shared" ref="AP25" si="88">IF(AND(MOD(J25,B25)/B25&lt;=0.5,MOD(J25,B25)&lt;&gt;0),1,0)</f>
        <v>0</v>
      </c>
      <c r="AQ25" s="8">
        <f t="shared" ref="AQ25" si="89">INT(K25/B25)</f>
        <v>0</v>
      </c>
      <c r="AR25" s="9">
        <f t="shared" ref="AR25" si="90">IF(MOD(K25,B25)/B25&gt;0.5,1,0)</f>
        <v>0</v>
      </c>
      <c r="AS25" s="10">
        <f t="shared" ref="AS25" si="91">IF(AND(MOD(K25,B25)/B25&lt;=0.5,MOD(K25,B25)&lt;&gt;0),1,0)</f>
        <v>0</v>
      </c>
    </row>
    <row r="26" spans="1:45" ht="19.95" customHeight="1">
      <c r="A26" s="128" t="s">
        <v>63</v>
      </c>
      <c r="B26" s="3">
        <v>32</v>
      </c>
      <c r="C26" s="126" cm="1">
        <f t="array" ref="C26">SUMPRODUCT(ROUNDUP(D26:K26/B26, 0))</f>
        <v>0</v>
      </c>
      <c r="D26" s="84">
        <f>'บางบัวทอง-ผลิต'!E44</f>
        <v>0</v>
      </c>
      <c r="E26" s="84">
        <f>'บางบัวทอง-ผลิต'!F44</f>
        <v>0</v>
      </c>
      <c r="F26" s="84">
        <f>'บางบัวทอง-ผลิต'!G44</f>
        <v>0</v>
      </c>
      <c r="G26" s="84">
        <f>'บางบัวทอง-ผลิต'!H44</f>
        <v>0</v>
      </c>
      <c r="H26" s="84">
        <f>'บางบัวทอง-ผลิต'!I44</f>
        <v>0</v>
      </c>
      <c r="I26" s="84">
        <f>'บางบัวทอง-ผลิต'!J44</f>
        <v>0</v>
      </c>
      <c r="J26" s="84">
        <f>'บางบัวทอง-ผลิต'!K44</f>
        <v>0</v>
      </c>
      <c r="K26" s="14"/>
      <c r="L26" s="14" t="str">
        <f t="shared" si="52"/>
        <v>0 full, 1 less than half</v>
      </c>
      <c r="M26" s="14"/>
      <c r="N26" s="14"/>
      <c r="O26" s="14"/>
      <c r="P26" s="8">
        <f t="shared" si="53"/>
        <v>0</v>
      </c>
      <c r="Q26" s="9">
        <f t="shared" si="54"/>
        <v>0</v>
      </c>
      <c r="R26" s="10">
        <f t="shared" si="55"/>
        <v>0</v>
      </c>
      <c r="S26" s="8"/>
      <c r="T26" s="9"/>
      <c r="U26" s="10"/>
      <c r="V26" s="8">
        <f t="shared" si="56"/>
        <v>0</v>
      </c>
      <c r="W26" s="9">
        <f t="shared" si="57"/>
        <v>0</v>
      </c>
      <c r="X26" s="10">
        <f t="shared" si="58"/>
        <v>0</v>
      </c>
      <c r="Y26" s="8">
        <f t="shared" si="59"/>
        <v>0</v>
      </c>
      <c r="Z26" s="9">
        <f t="shared" si="60"/>
        <v>0</v>
      </c>
      <c r="AA26" s="10">
        <f t="shared" si="61"/>
        <v>0</v>
      </c>
      <c r="AB26" s="8">
        <f t="shared" si="62"/>
        <v>0</v>
      </c>
      <c r="AC26" s="9">
        <f t="shared" si="63"/>
        <v>0</v>
      </c>
      <c r="AD26" s="10">
        <f t="shared" si="64"/>
        <v>0</v>
      </c>
      <c r="AE26" s="8"/>
      <c r="AF26" s="9"/>
      <c r="AG26" s="10"/>
      <c r="AH26" s="8">
        <f t="shared" si="65"/>
        <v>0</v>
      </c>
      <c r="AI26" s="9">
        <f t="shared" si="66"/>
        <v>0</v>
      </c>
      <c r="AJ26" s="10">
        <f t="shared" si="67"/>
        <v>0</v>
      </c>
      <c r="AK26" s="8">
        <f t="shared" si="68"/>
        <v>0</v>
      </c>
      <c r="AL26" s="9">
        <f t="shared" si="69"/>
        <v>0</v>
      </c>
      <c r="AM26" s="10">
        <f t="shared" si="70"/>
        <v>0</v>
      </c>
      <c r="AN26" s="8">
        <f t="shared" ref="AN26" si="92">INT(J26/B26)</f>
        <v>0</v>
      </c>
      <c r="AO26" s="9">
        <f t="shared" ref="AO26" si="93">IF(MOD(J26,B26)/B26&gt;0.5,1,0)</f>
        <v>0</v>
      </c>
      <c r="AP26" s="10">
        <f t="shared" ref="AP26" si="94">IF(AND(MOD(J26,B26)/B26&lt;=0.5,MOD(J26,B26)&lt;&gt;0),1,0)</f>
        <v>0</v>
      </c>
      <c r="AQ26" s="8">
        <f t="shared" ref="AQ26" si="95">INT(K26/B26)</f>
        <v>0</v>
      </c>
      <c r="AR26" s="9">
        <f t="shared" ref="AR26" si="96">IF(MOD(K26,B26)/B26&gt;0.5,1,0)</f>
        <v>0</v>
      </c>
      <c r="AS26" s="10">
        <f t="shared" ref="AS26" si="97">IF(AND(MOD(K26,B26)/B26&lt;=0.5,MOD(K26,B26)&lt;&gt;0),1,0)</f>
        <v>0</v>
      </c>
    </row>
    <row r="27" spans="1:45" ht="19.95" customHeight="1">
      <c r="A27" s="127" t="s">
        <v>112</v>
      </c>
      <c r="B27" s="3">
        <v>15</v>
      </c>
      <c r="C27" s="126" cm="1">
        <f t="array" ref="C27">SUMPRODUCT(ROUNDUP(D27:K27/B27, 0))</f>
        <v>0</v>
      </c>
      <c r="D27" s="129">
        <f>'บางบัวทอง-ผลิต'!E46</f>
        <v>0</v>
      </c>
      <c r="E27" s="129">
        <f>'บางบัวทอง-ผลิต'!F46</f>
        <v>0</v>
      </c>
      <c r="F27" s="129">
        <f>'บางบัวทอง-ผลิต'!G46</f>
        <v>0</v>
      </c>
      <c r="G27" s="129">
        <f>'บางบัวทอง-ผลิต'!H46</f>
        <v>0</v>
      </c>
      <c r="H27" s="129">
        <f>'บางบัวทอง-ผลิต'!I46</f>
        <v>0</v>
      </c>
      <c r="I27" s="129">
        <f>'บางบัวทอง-ผลิต'!J46</f>
        <v>0</v>
      </c>
      <c r="J27" s="129">
        <f>'บางบัวทอง-ผลิต'!K46</f>
        <v>0</v>
      </c>
      <c r="K27" s="126"/>
      <c r="L27" s="14"/>
      <c r="M27" s="14"/>
      <c r="N27" s="14"/>
      <c r="O27" s="14"/>
      <c r="P27" s="8"/>
      <c r="Q27" s="9"/>
      <c r="R27" s="10"/>
      <c r="S27" s="8"/>
      <c r="T27" s="9"/>
      <c r="U27" s="10"/>
      <c r="V27" s="8"/>
      <c r="W27" s="9"/>
      <c r="X27" s="10"/>
      <c r="Y27" s="8"/>
      <c r="Z27" s="9"/>
      <c r="AA27" s="10"/>
      <c r="AB27" s="8"/>
      <c r="AC27" s="9"/>
      <c r="AD27" s="10"/>
      <c r="AE27" s="8"/>
      <c r="AF27" s="9"/>
      <c r="AG27" s="10"/>
      <c r="AH27" s="8"/>
      <c r="AI27" s="9"/>
      <c r="AJ27" s="10"/>
      <c r="AK27" s="8"/>
      <c r="AL27" s="9"/>
      <c r="AM27" s="10"/>
      <c r="AN27" s="8"/>
      <c r="AO27" s="9"/>
      <c r="AP27" s="10"/>
      <c r="AQ27" s="8"/>
      <c r="AR27" s="9"/>
      <c r="AS27" s="10"/>
    </row>
    <row r="28" spans="1:45" ht="19.95" customHeight="1">
      <c r="A28" s="127" t="s">
        <v>152</v>
      </c>
      <c r="B28" s="3">
        <v>8</v>
      </c>
      <c r="C28" s="126" cm="1">
        <f t="array" ref="C28">SUMPRODUCT(ROUNDUP(D28:K28/B28, 0))</f>
        <v>0</v>
      </c>
      <c r="D28" s="129">
        <f>'บางบัวทอง-ผลิต'!E48</f>
        <v>0</v>
      </c>
      <c r="E28" s="129">
        <f>'บางบัวทอง-ผลิต'!F48</f>
        <v>0</v>
      </c>
      <c r="F28" s="129">
        <f>'บางบัวทอง-ผลิต'!G48</f>
        <v>0</v>
      </c>
      <c r="G28" s="129">
        <f>'บางบัวทอง-ผลิต'!H48</f>
        <v>0</v>
      </c>
      <c r="H28" s="129">
        <f>'บางบัวทอง-ผลิต'!I48</f>
        <v>0</v>
      </c>
      <c r="I28" s="129">
        <f>'บางบัวทอง-ผลิต'!J48</f>
        <v>0</v>
      </c>
      <c r="J28" s="129">
        <f>'บางบัวทอง-ผลิต'!K48</f>
        <v>0</v>
      </c>
      <c r="K28" s="126"/>
      <c r="L28" s="14"/>
      <c r="M28" s="14"/>
      <c r="N28" s="14"/>
      <c r="O28" s="14"/>
      <c r="P28" s="8"/>
      <c r="Q28" s="9"/>
      <c r="R28" s="10"/>
      <c r="S28" s="8"/>
      <c r="T28" s="9"/>
      <c r="U28" s="10"/>
      <c r="V28" s="8"/>
      <c r="W28" s="9"/>
      <c r="X28" s="10"/>
      <c r="Y28" s="8"/>
      <c r="Z28" s="9"/>
      <c r="AA28" s="10"/>
      <c r="AB28" s="8"/>
      <c r="AC28" s="9"/>
      <c r="AD28" s="10"/>
      <c r="AE28" s="8"/>
      <c r="AF28" s="9"/>
      <c r="AG28" s="10"/>
      <c r="AH28" s="8"/>
      <c r="AI28" s="9"/>
      <c r="AJ28" s="10"/>
      <c r="AK28" s="8"/>
      <c r="AL28" s="9"/>
      <c r="AM28" s="10"/>
      <c r="AN28" s="8"/>
      <c r="AO28" s="9"/>
      <c r="AP28" s="10"/>
      <c r="AQ28" s="8"/>
      <c r="AR28" s="9"/>
      <c r="AS28" s="10"/>
    </row>
    <row r="29" spans="1:45" s="25" customFormat="1" ht="25.2" customHeight="1" thickBot="1">
      <c r="A29" s="235" t="s">
        <v>36</v>
      </c>
      <c r="B29" s="236"/>
      <c r="C29" s="111">
        <f>SUM(C10:C28)</f>
        <v>0</v>
      </c>
      <c r="D29" s="112">
        <f>SUM(D30:D32)*-1</f>
        <v>0</v>
      </c>
      <c r="E29" s="112">
        <f>SUM(E30:E32)*-1</f>
        <v>0</v>
      </c>
      <c r="F29" s="112">
        <f t="shared" ref="F29:H29" si="98">SUM(F30:F32)*-1</f>
        <v>0</v>
      </c>
      <c r="G29" s="112">
        <f t="shared" si="98"/>
        <v>0</v>
      </c>
      <c r="H29" s="112">
        <f t="shared" si="98"/>
        <v>0</v>
      </c>
      <c r="I29" s="112">
        <f>SUM(I30:I32)*-1</f>
        <v>0</v>
      </c>
      <c r="J29" s="112">
        <f>SUM(J30:J32)*-1</f>
        <v>0</v>
      </c>
      <c r="K29" s="72"/>
      <c r="L29" s="23"/>
      <c r="M29" s="24"/>
      <c r="N29" s="24"/>
      <c r="O29" s="24"/>
    </row>
    <row r="30" spans="1:45" ht="21" customHeight="1">
      <c r="A30" s="237" t="s">
        <v>37</v>
      </c>
      <c r="B30" s="237"/>
      <c r="C30" s="237"/>
      <c r="D30" s="73">
        <f>SUM(P10:P20)</f>
        <v>0</v>
      </c>
      <c r="E30" s="73">
        <f>SUM(V10:V20)</f>
        <v>0</v>
      </c>
      <c r="F30" s="73">
        <f>SUM(Y10:Y20)</f>
        <v>0</v>
      </c>
      <c r="G30" s="73">
        <f>SUM(AB10:AB20)</f>
        <v>0</v>
      </c>
      <c r="H30" s="73">
        <f>SUM(AH10:AH20)</f>
        <v>0</v>
      </c>
      <c r="I30" s="73">
        <f>SUM(AK10:AK20)</f>
        <v>0</v>
      </c>
      <c r="J30" s="73"/>
      <c r="K30" s="14"/>
      <c r="L30" s="14"/>
      <c r="M30" s="14"/>
      <c r="N30" s="14"/>
      <c r="O30" s="14"/>
    </row>
    <row r="31" spans="1:45" ht="21" customHeight="1">
      <c r="A31" s="232" t="s">
        <v>38</v>
      </c>
      <c r="B31" s="232"/>
      <c r="C31" s="232"/>
      <c r="D31" s="14">
        <f>SUM(Q10:Q20)</f>
        <v>0</v>
      </c>
      <c r="E31" s="14">
        <f>SUM(W10:W20)</f>
        <v>0</v>
      </c>
      <c r="F31" s="14">
        <f>SUM(Z10:Z20)</f>
        <v>0</v>
      </c>
      <c r="G31" s="14">
        <f>SUM(AC10:AC20)</f>
        <v>0</v>
      </c>
      <c r="H31" s="14">
        <f>SUM(AI10:AI20)</f>
        <v>0</v>
      </c>
      <c r="I31" s="14">
        <f>SUM(AL10:AL20)</f>
        <v>0</v>
      </c>
      <c r="J31" s="14"/>
      <c r="K31" s="14"/>
      <c r="L31" s="14"/>
      <c r="M31" s="14"/>
      <c r="N31" s="14"/>
      <c r="O31" s="14"/>
    </row>
    <row r="32" spans="1:45" ht="21" customHeight="1">
      <c r="A32" s="232" t="s">
        <v>39</v>
      </c>
      <c r="B32" s="232"/>
      <c r="C32" s="232"/>
      <c r="D32" s="14">
        <f>SUM(R10:R20)</f>
        <v>0</v>
      </c>
      <c r="E32" s="14">
        <f>SUM(X10:X20)</f>
        <v>0</v>
      </c>
      <c r="F32" s="14">
        <f>SUM(AA10:AA20)</f>
        <v>0</v>
      </c>
      <c r="G32" s="14">
        <f>SUM(AD10:AD20)</f>
        <v>0</v>
      </c>
      <c r="H32" s="14">
        <f>SUM(AJ10:AJ20)</f>
        <v>0</v>
      </c>
      <c r="I32" s="14">
        <f>SUM(AM10:AM20)</f>
        <v>0</v>
      </c>
      <c r="J32" s="14"/>
      <c r="K32" s="14"/>
      <c r="L32" s="14"/>
      <c r="M32" s="14"/>
      <c r="N32" s="14"/>
      <c r="O32" s="14"/>
    </row>
    <row r="33" spans="1:15" ht="15" customHeight="1">
      <c r="A33" s="11"/>
      <c r="B33" s="11"/>
      <c r="C33" s="11"/>
    </row>
    <row r="34" spans="1:15" ht="15" customHeight="1">
      <c r="A34" s="11"/>
      <c r="B34" s="11"/>
      <c r="C34" s="11"/>
    </row>
    <row r="35" spans="1:15" ht="18" customHeight="1">
      <c r="A35" s="231" t="s">
        <v>40</v>
      </c>
      <c r="B35" s="15" t="s">
        <v>37</v>
      </c>
      <c r="C35" s="13">
        <v>134</v>
      </c>
      <c r="D35" s="14">
        <f>IF(C35=0, 0, ((SUM(D30:K30)+SUM(D31:K31))/C35)*100)</f>
        <v>0</v>
      </c>
    </row>
    <row r="36" spans="1:15" ht="18" customHeight="1">
      <c r="A36" s="231"/>
      <c r="B36" s="15" t="s">
        <v>42</v>
      </c>
      <c r="C36" s="13">
        <v>242</v>
      </c>
      <c r="D36" s="14">
        <f>IF(C36=0, 0, ((SUM(D32:K32))/C36)*100)</f>
        <v>0</v>
      </c>
    </row>
    <row r="37" spans="1:15" ht="18" customHeight="1">
      <c r="A37" s="231"/>
      <c r="B37" s="232" t="s">
        <v>44</v>
      </c>
      <c r="C37" s="232"/>
      <c r="D37" s="14">
        <f>D35+D36</f>
        <v>0</v>
      </c>
    </row>
    <row r="38" spans="1:15" ht="18" customHeight="1">
      <c r="A38" s="231"/>
      <c r="B38" s="232" t="s">
        <v>43</v>
      </c>
      <c r="C38" s="232"/>
      <c r="D38" s="14">
        <v>100</v>
      </c>
    </row>
    <row r="39" spans="1:15" ht="18" customHeight="1">
      <c r="A39" s="231"/>
      <c r="B39" s="232" t="s">
        <v>17</v>
      </c>
      <c r="C39" s="232"/>
      <c r="D39" s="14">
        <f>CEILING(D37 /D38, 1)</f>
        <v>0</v>
      </c>
    </row>
    <row r="40" spans="1:15" ht="18" customHeight="1">
      <c r="A40" s="231" t="s">
        <v>41</v>
      </c>
      <c r="B40" s="15" t="s">
        <v>37</v>
      </c>
      <c r="C40" s="13">
        <v>154</v>
      </c>
      <c r="D40" s="14">
        <f>IF(C40=0, 0, ((SUM(D30:K30)+SUM(D31:K31))/C40)*100)</f>
        <v>0</v>
      </c>
    </row>
    <row r="41" spans="1:15" ht="18" customHeight="1">
      <c r="A41" s="231"/>
      <c r="B41" s="15" t="s">
        <v>42</v>
      </c>
      <c r="C41" s="13">
        <v>278</v>
      </c>
      <c r="D41" s="14">
        <f>IF(C41=0, 0, ((SUM(D32:K32))/C41)*100)</f>
        <v>0</v>
      </c>
    </row>
    <row r="42" spans="1:15" ht="18" customHeight="1">
      <c r="A42" s="231"/>
      <c r="B42" s="232" t="s">
        <v>44</v>
      </c>
      <c r="C42" s="232"/>
      <c r="D42" s="14">
        <f>D40+D41</f>
        <v>0</v>
      </c>
    </row>
    <row r="43" spans="1:15" ht="18" customHeight="1">
      <c r="A43" s="231"/>
      <c r="B43" s="232" t="s">
        <v>43</v>
      </c>
      <c r="C43" s="232"/>
      <c r="D43" s="14">
        <v>100</v>
      </c>
    </row>
    <row r="44" spans="1:15" ht="25.2" customHeight="1">
      <c r="A44" s="231"/>
      <c r="B44" s="232" t="s">
        <v>17</v>
      </c>
      <c r="C44" s="232"/>
      <c r="D44" s="14">
        <f>CEILING(D42 /D43, 1)</f>
        <v>0</v>
      </c>
    </row>
    <row r="45" spans="1:15" ht="25.2" customHeight="1">
      <c r="B45" s="11"/>
      <c r="C45" s="11"/>
    </row>
    <row r="46" spans="1:15" ht="4.95" customHeight="1">
      <c r="B46" s="11"/>
      <c r="C46" s="11"/>
    </row>
    <row r="47" spans="1:15" ht="21" customHeight="1">
      <c r="A47" s="231" t="s">
        <v>14</v>
      </c>
      <c r="B47" s="233"/>
      <c r="C47" s="13" t="s">
        <v>45</v>
      </c>
      <c r="D47" s="231" t="s">
        <v>49</v>
      </c>
      <c r="E47" s="231"/>
      <c r="F47" s="231" t="s">
        <v>50</v>
      </c>
      <c r="G47" s="231"/>
      <c r="H47" s="219" t="s">
        <v>51</v>
      </c>
      <c r="I47" s="220"/>
      <c r="J47" s="220"/>
      <c r="K47" s="225"/>
      <c r="L47" s="16"/>
      <c r="M47" s="221" t="s">
        <v>56</v>
      </c>
      <c r="N47" s="222"/>
    </row>
    <row r="48" spans="1:15" ht="21" customHeight="1">
      <c r="A48" s="226" t="s">
        <v>46</v>
      </c>
      <c r="B48" s="227"/>
      <c r="C48" s="14"/>
      <c r="D48" s="219"/>
      <c r="E48" s="225"/>
      <c r="F48" s="219"/>
      <c r="G48" s="220"/>
      <c r="H48" s="228"/>
      <c r="I48" s="229"/>
      <c r="J48" s="229"/>
      <c r="K48" s="230"/>
      <c r="L48" s="17"/>
      <c r="M48" s="21" t="s">
        <v>52</v>
      </c>
      <c r="N48" s="22" t="s">
        <v>53</v>
      </c>
      <c r="O48" s="5"/>
    </row>
    <row r="49" spans="1:15" ht="21" customHeight="1">
      <c r="A49" s="226" t="s">
        <v>47</v>
      </c>
      <c r="B49" s="227"/>
      <c r="C49" s="14"/>
      <c r="D49" s="219"/>
      <c r="E49" s="225"/>
      <c r="F49" s="219"/>
      <c r="G49" s="220"/>
      <c r="H49" s="228"/>
      <c r="I49" s="229"/>
      <c r="J49" s="229"/>
      <c r="K49" s="230"/>
      <c r="L49" s="17"/>
      <c r="M49" s="21" t="s">
        <v>54</v>
      </c>
      <c r="N49" s="22" t="s">
        <v>53</v>
      </c>
      <c r="O49" s="18"/>
    </row>
    <row r="50" spans="1:15" ht="21" customHeight="1">
      <c r="A50" s="226" t="s">
        <v>48</v>
      </c>
      <c r="B50" s="226"/>
      <c r="C50" s="14"/>
      <c r="D50" s="219"/>
      <c r="E50" s="225"/>
      <c r="F50" s="219"/>
      <c r="G50" s="220"/>
      <c r="H50" s="228"/>
      <c r="I50" s="229"/>
      <c r="J50" s="229"/>
      <c r="K50" s="230"/>
      <c r="L50" s="17"/>
      <c r="M50" s="19" t="s">
        <v>55</v>
      </c>
      <c r="N50" s="20" t="s">
        <v>53</v>
      </c>
      <c r="O50" s="18"/>
    </row>
    <row r="51" spans="1:15" ht="15" customHeight="1">
      <c r="M51" s="18"/>
      <c r="N51" s="18"/>
      <c r="O51" s="18"/>
    </row>
  </sheetData>
  <mergeCells count="57">
    <mergeCell ref="B1:K1"/>
    <mergeCell ref="M1:O1"/>
    <mergeCell ref="M3:O4"/>
    <mergeCell ref="A6:B8"/>
    <mergeCell ref="C6:O6"/>
    <mergeCell ref="J8:J9"/>
    <mergeCell ref="O8:O9"/>
    <mergeCell ref="A30:C30"/>
    <mergeCell ref="D8:D9"/>
    <mergeCell ref="C7:C9"/>
    <mergeCell ref="E8:E9"/>
    <mergeCell ref="D7:O7"/>
    <mergeCell ref="AH8:AJ8"/>
    <mergeCell ref="AK8:AM8"/>
    <mergeCell ref="AN8:AP8"/>
    <mergeCell ref="AQ8:AS8"/>
    <mergeCell ref="A29:B29"/>
    <mergeCell ref="P8:R8"/>
    <mergeCell ref="S8:U8"/>
    <mergeCell ref="V8:X8"/>
    <mergeCell ref="Y8:AA8"/>
    <mergeCell ref="AB8:AD8"/>
    <mergeCell ref="AE8:AG8"/>
    <mergeCell ref="F8:F9"/>
    <mergeCell ref="G8:G9"/>
    <mergeCell ref="H8:H9"/>
    <mergeCell ref="I8:I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H50:K50"/>
    <mergeCell ref="A40:A44"/>
    <mergeCell ref="B42:C42"/>
    <mergeCell ref="B43:C43"/>
    <mergeCell ref="B44:C44"/>
    <mergeCell ref="A47:B47"/>
    <mergeCell ref="D47:E47"/>
    <mergeCell ref="H48:K48"/>
    <mergeCell ref="H49:K49"/>
    <mergeCell ref="F47:G47"/>
    <mergeCell ref="D48:E48"/>
    <mergeCell ref="D49:E49"/>
    <mergeCell ref="D50:E50"/>
    <mergeCell ref="F48:G48"/>
    <mergeCell ref="F49:G49"/>
    <mergeCell ref="F50:G50"/>
    <mergeCell ref="M47:N47"/>
    <mergeCell ref="M8:M9"/>
    <mergeCell ref="N8:N9"/>
    <mergeCell ref="K8:K9"/>
    <mergeCell ref="H47:K47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2"/>
  <sheetViews>
    <sheetView workbookViewId="0">
      <selection activeCell="D24" sqref="A24:XFD25"/>
    </sheetView>
  </sheetViews>
  <sheetFormatPr defaultRowHeight="14.4"/>
  <cols>
    <col min="1" max="1" width="7.44140625" customWidth="1"/>
    <col min="2" max="2" width="40.21875" bestFit="1" customWidth="1"/>
    <col min="3" max="3" width="10.5546875" customWidth="1"/>
    <col min="4" max="7" width="13.21875" style="60" customWidth="1"/>
    <col min="8" max="8" width="13.21875" customWidth="1"/>
  </cols>
  <sheetData>
    <row r="1" spans="1:11" s="3" customFormat="1" ht="15" customHeight="1">
      <c r="J1" s="53"/>
    </row>
    <row r="2" spans="1:11" s="3" customFormat="1" ht="15" customHeight="1">
      <c r="E2" s="266"/>
      <c r="F2" s="266"/>
      <c r="H2" s="267"/>
      <c r="I2" s="267"/>
      <c r="J2" s="267"/>
    </row>
    <row r="3" spans="1:11" s="3" customFormat="1" ht="15" customHeight="1">
      <c r="E3" s="266"/>
      <c r="F3" s="266"/>
      <c r="G3" s="61"/>
      <c r="H3" s="267"/>
      <c r="I3" s="267"/>
      <c r="J3" s="267"/>
    </row>
    <row r="4" spans="1:11" s="3" customFormat="1" ht="15" customHeight="1" thickBot="1">
      <c r="E4" s="39"/>
      <c r="F4" s="39"/>
      <c r="G4" s="61"/>
      <c r="H4" s="39"/>
      <c r="I4" s="39"/>
      <c r="J4" s="53"/>
    </row>
    <row r="5" spans="1:11" s="3" customFormat="1" ht="29.25" customHeight="1">
      <c r="A5" s="268" t="s">
        <v>96</v>
      </c>
      <c r="B5" s="268"/>
      <c r="C5" s="269"/>
      <c r="D5" s="285" t="s">
        <v>69</v>
      </c>
      <c r="E5" s="286"/>
      <c r="F5" s="286"/>
      <c r="G5" s="286"/>
      <c r="H5" s="286"/>
      <c r="I5" s="286"/>
      <c r="J5" s="287"/>
    </row>
    <row r="6" spans="1:11" s="3" customFormat="1" ht="15" customHeight="1" thickBot="1">
      <c r="A6" s="270"/>
      <c r="B6" s="270"/>
      <c r="C6" s="271"/>
      <c r="D6" s="288"/>
      <c r="E6" s="289"/>
      <c r="F6" s="289"/>
      <c r="G6" s="289"/>
      <c r="H6" s="289"/>
      <c r="I6" s="289"/>
      <c r="J6" s="290"/>
    </row>
    <row r="7" spans="1:11" s="3" customFormat="1" ht="15" customHeight="1">
      <c r="A7" s="272" t="s">
        <v>84</v>
      </c>
      <c r="B7" s="273"/>
      <c r="C7" s="278" t="s">
        <v>35</v>
      </c>
      <c r="D7" s="291" t="s">
        <v>94</v>
      </c>
      <c r="E7" s="292"/>
      <c r="F7" s="292"/>
      <c r="G7" s="292"/>
      <c r="H7" s="293"/>
      <c r="I7" s="297" t="s">
        <v>77</v>
      </c>
      <c r="J7" s="298"/>
      <c r="K7" s="28"/>
    </row>
    <row r="8" spans="1:11" s="3" customFormat="1" ht="15" customHeight="1" thickBot="1">
      <c r="A8" s="274"/>
      <c r="B8" s="275"/>
      <c r="C8" s="279"/>
      <c r="D8" s="294"/>
      <c r="E8" s="295"/>
      <c r="F8" s="295"/>
      <c r="G8" s="295"/>
      <c r="H8" s="296"/>
      <c r="I8" s="299"/>
      <c r="J8" s="300"/>
      <c r="K8" s="28"/>
    </row>
    <row r="9" spans="1:11" s="3" customFormat="1" ht="24.6" customHeight="1" thickBot="1">
      <c r="A9" s="274"/>
      <c r="B9" s="275"/>
      <c r="C9" s="279"/>
      <c r="D9" s="304" t="s">
        <v>72</v>
      </c>
      <c r="E9" s="305"/>
      <c r="F9" s="40" t="s">
        <v>73</v>
      </c>
      <c r="G9" s="306" t="s">
        <v>75</v>
      </c>
      <c r="H9" s="307"/>
      <c r="I9" s="301"/>
      <c r="J9" s="300"/>
    </row>
    <row r="10" spans="1:11" s="3" customFormat="1" ht="25.95" customHeight="1" thickBot="1">
      <c r="A10" s="274"/>
      <c r="B10" s="275"/>
      <c r="C10" s="279"/>
      <c r="D10" s="281" t="s">
        <v>71</v>
      </c>
      <c r="E10" s="282"/>
      <c r="F10" s="43" t="s">
        <v>74</v>
      </c>
      <c r="G10" s="283" t="s">
        <v>76</v>
      </c>
      <c r="H10" s="284"/>
      <c r="I10" s="302"/>
      <c r="J10" s="303"/>
    </row>
    <row r="11" spans="1:11" s="3" customFormat="1" ht="28.95" customHeight="1" thickBot="1">
      <c r="A11" s="276"/>
      <c r="B11" s="277"/>
      <c r="C11" s="280"/>
      <c r="D11" s="44" t="s">
        <v>70</v>
      </c>
      <c r="E11" s="45" t="s">
        <v>66</v>
      </c>
      <c r="F11" s="34" t="s">
        <v>0</v>
      </c>
      <c r="G11" s="49" t="s">
        <v>70</v>
      </c>
      <c r="H11" s="50" t="s">
        <v>66</v>
      </c>
      <c r="I11" s="54" t="s">
        <v>68</v>
      </c>
      <c r="J11" s="41" t="s">
        <v>67</v>
      </c>
    </row>
    <row r="12" spans="1:11" s="3" customFormat="1" ht="24" customHeight="1">
      <c r="A12" s="254">
        <v>1</v>
      </c>
      <c r="B12" s="262" t="s">
        <v>57</v>
      </c>
      <c r="C12" s="264">
        <v>32</v>
      </c>
      <c r="D12" s="64">
        <v>922</v>
      </c>
      <c r="E12" s="65">
        <v>883</v>
      </c>
      <c r="F12" s="66">
        <v>873</v>
      </c>
      <c r="G12" s="64">
        <v>313</v>
      </c>
      <c r="H12" s="65">
        <v>322</v>
      </c>
      <c r="I12" s="250">
        <f>SUM(D12:H12)</f>
        <v>3313</v>
      </c>
      <c r="J12" s="252">
        <v>106</v>
      </c>
    </row>
    <row r="13" spans="1:11" s="3" customFormat="1" ht="24" customHeight="1" thickBot="1">
      <c r="A13" s="255"/>
      <c r="B13" s="263"/>
      <c r="C13" s="265"/>
      <c r="D13" s="67" t="str">
        <f t="shared" ref="D13:H13" si="0">IF(D12=0, "", IF(MOD(D12, $C$12) = 0, D12 / $C$12, IF(INT(D12 / $C$12) = 0, MOD(D12, $C$12) &amp; " P", INT(D12 / $C$12) &amp; " + " &amp; MOD(D12, $C$12) &amp; " P")))</f>
        <v>28 + 26 P</v>
      </c>
      <c r="E13" s="67" t="str">
        <f t="shared" si="0"/>
        <v>27 + 19 P</v>
      </c>
      <c r="F13" s="67" t="str">
        <f t="shared" si="0"/>
        <v>27 + 9 P</v>
      </c>
      <c r="G13" s="67" t="str">
        <f t="shared" si="0"/>
        <v>9 + 25 P</v>
      </c>
      <c r="H13" s="67" t="str">
        <f t="shared" si="0"/>
        <v>10 + 2 P</v>
      </c>
      <c r="I13" s="251"/>
      <c r="J13" s="253"/>
    </row>
    <row r="14" spans="1:11" s="3" customFormat="1" ht="24" customHeight="1">
      <c r="A14" s="254">
        <v>3</v>
      </c>
      <c r="B14" s="262" t="s">
        <v>58</v>
      </c>
      <c r="C14" s="264">
        <v>32</v>
      </c>
      <c r="D14" s="64">
        <v>99</v>
      </c>
      <c r="E14" s="65">
        <v>62</v>
      </c>
      <c r="F14" s="66">
        <v>90</v>
      </c>
      <c r="G14" s="64">
        <v>16</v>
      </c>
      <c r="H14" s="65">
        <v>23</v>
      </c>
      <c r="I14" s="250">
        <f>SUM(D14:H14)</f>
        <v>290</v>
      </c>
      <c r="J14" s="252">
        <v>11</v>
      </c>
    </row>
    <row r="15" spans="1:11" s="3" customFormat="1" ht="24" customHeight="1" thickBot="1">
      <c r="A15" s="255"/>
      <c r="B15" s="263"/>
      <c r="C15" s="265"/>
      <c r="D15" s="68" t="str">
        <f t="shared" ref="D15:H15" si="1">IF(D14=0, "", IF(MOD(D14, $C$14) = 0, D14 / $C$14, IF(INT(D14 / $C$14) = 0, MOD(D14, $C$14) &amp; " P", INT(D14 / $C$14) &amp; " + " &amp; MOD(D14, $C$14) &amp; " P")))</f>
        <v>3 + 3 P</v>
      </c>
      <c r="E15" s="68" t="str">
        <f t="shared" si="1"/>
        <v>1 + 30 P</v>
      </c>
      <c r="F15" s="68" t="str">
        <f t="shared" si="1"/>
        <v>2 + 26 P</v>
      </c>
      <c r="G15" s="68" t="str">
        <f t="shared" si="1"/>
        <v>16 P</v>
      </c>
      <c r="H15" s="68" t="str">
        <f t="shared" si="1"/>
        <v>23 P</v>
      </c>
      <c r="I15" s="251"/>
      <c r="J15" s="253"/>
    </row>
    <row r="16" spans="1:11" s="3" customFormat="1" ht="24" customHeight="1">
      <c r="A16" s="254">
        <v>4</v>
      </c>
      <c r="B16" s="262" t="s">
        <v>93</v>
      </c>
      <c r="C16" s="264">
        <v>27</v>
      </c>
      <c r="D16" s="64">
        <v>58</v>
      </c>
      <c r="E16" s="69">
        <v>39</v>
      </c>
      <c r="F16" s="66">
        <v>26</v>
      </c>
      <c r="G16" s="64">
        <v>6</v>
      </c>
      <c r="H16" s="69">
        <v>1</v>
      </c>
      <c r="I16" s="250">
        <f>SUM(D16:H16)</f>
        <v>130</v>
      </c>
      <c r="J16" s="252">
        <v>8</v>
      </c>
    </row>
    <row r="17" spans="1:10" s="3" customFormat="1" ht="24" customHeight="1" thickBot="1">
      <c r="A17" s="255"/>
      <c r="B17" s="263"/>
      <c r="C17" s="265"/>
      <c r="D17" s="68" t="str">
        <f t="shared" ref="D17:H17" si="2">IF(D16=0, "", IF(MOD(D16, $C$16) = 0, D16 / $C$16, IF(INT(D16 / $C$16) = 0, MOD(D16, $C$16) &amp; " P", INT(D16 / $C$16) &amp; " + " &amp; MOD(D16, $C$16) &amp; " P")))</f>
        <v>2 + 4 P</v>
      </c>
      <c r="E17" s="68" t="str">
        <f t="shared" si="2"/>
        <v>1 + 12 P</v>
      </c>
      <c r="F17" s="68" t="str">
        <f t="shared" si="2"/>
        <v>26 P</v>
      </c>
      <c r="G17" s="68" t="str">
        <f t="shared" si="2"/>
        <v>6 P</v>
      </c>
      <c r="H17" s="68" t="str">
        <f t="shared" si="2"/>
        <v>1 P</v>
      </c>
      <c r="I17" s="251"/>
      <c r="J17" s="253"/>
    </row>
    <row r="18" spans="1:10" s="3" customFormat="1" ht="24" customHeight="1">
      <c r="A18" s="254">
        <v>5</v>
      </c>
      <c r="B18" s="256" t="s">
        <v>59</v>
      </c>
      <c r="C18" s="260">
        <v>36</v>
      </c>
      <c r="D18" s="64">
        <v>190</v>
      </c>
      <c r="E18" s="65">
        <v>117</v>
      </c>
      <c r="F18" s="66">
        <v>66</v>
      </c>
      <c r="G18" s="64">
        <v>21</v>
      </c>
      <c r="H18" s="65">
        <v>12</v>
      </c>
      <c r="I18" s="250">
        <f>SUM(D18:H18)</f>
        <v>406</v>
      </c>
      <c r="J18" s="252">
        <v>14</v>
      </c>
    </row>
    <row r="19" spans="1:10" s="3" customFormat="1" ht="24" customHeight="1" thickBot="1">
      <c r="A19" s="255"/>
      <c r="B19" s="257"/>
      <c r="C19" s="261"/>
      <c r="D19" s="68" t="str">
        <f t="shared" ref="D19:H19" si="3">IF(D18=0, "", IF(MOD(D18, $C$18) = 0, D18 / $C$18, IF(INT(D18 / $C$18) = 0, MOD(D18, $C$18) &amp; " P", INT(D18 / $C$18) &amp; " + " &amp; MOD(D18, $C$18) &amp; " P")))</f>
        <v>5 + 10 P</v>
      </c>
      <c r="E19" s="68" t="str">
        <f t="shared" si="3"/>
        <v>3 + 9 P</v>
      </c>
      <c r="F19" s="68" t="str">
        <f t="shared" si="3"/>
        <v>1 + 30 P</v>
      </c>
      <c r="G19" s="68" t="str">
        <f t="shared" si="3"/>
        <v>21 P</v>
      </c>
      <c r="H19" s="68" t="str">
        <f t="shared" si="3"/>
        <v>12 P</v>
      </c>
      <c r="I19" s="251"/>
      <c r="J19" s="253"/>
    </row>
    <row r="20" spans="1:10" s="3" customFormat="1" ht="24" customHeight="1">
      <c r="A20" s="254">
        <v>6</v>
      </c>
      <c r="B20" s="256" t="s">
        <v>60</v>
      </c>
      <c r="C20" s="260">
        <v>15</v>
      </c>
      <c r="D20" s="64">
        <v>67</v>
      </c>
      <c r="E20" s="65">
        <v>48</v>
      </c>
      <c r="F20" s="66">
        <v>48</v>
      </c>
      <c r="G20" s="64">
        <v>8</v>
      </c>
      <c r="H20" s="65">
        <v>17</v>
      </c>
      <c r="I20" s="250">
        <f>SUM(D20:H20)</f>
        <v>188</v>
      </c>
      <c r="J20" s="252">
        <v>16</v>
      </c>
    </row>
    <row r="21" spans="1:10" s="3" customFormat="1" ht="24" customHeight="1" thickBot="1">
      <c r="A21" s="255"/>
      <c r="B21" s="257"/>
      <c r="C21" s="261"/>
      <c r="D21" s="68" t="str">
        <f t="shared" ref="D21:H21" si="4">IF(D20=0, "", IF(MOD(D20, $C$20) = 0, D20/ $C$20, IF(INT(D20 / $C$20) = 0, MOD(D20, $C$20) &amp; " P", INT(D20 / $C$20) &amp; " + " &amp; MOD(D20, $C$20) &amp; " P")))</f>
        <v>4 + 7 P</v>
      </c>
      <c r="E21" s="68" t="str">
        <f t="shared" si="4"/>
        <v>3 + 3 P</v>
      </c>
      <c r="F21" s="68" t="str">
        <f t="shared" si="4"/>
        <v>3 + 3 P</v>
      </c>
      <c r="G21" s="68" t="str">
        <f t="shared" si="4"/>
        <v>8 P</v>
      </c>
      <c r="H21" s="68" t="str">
        <f t="shared" si="4"/>
        <v>1 + 2 P</v>
      </c>
      <c r="I21" s="251"/>
      <c r="J21" s="253"/>
    </row>
    <row r="22" spans="1:10" s="3" customFormat="1" ht="24" customHeight="1">
      <c r="A22" s="254">
        <v>7</v>
      </c>
      <c r="B22" s="256" t="s">
        <v>61</v>
      </c>
      <c r="C22" s="260">
        <v>45</v>
      </c>
      <c r="D22" s="64">
        <v>11</v>
      </c>
      <c r="E22" s="65">
        <v>6</v>
      </c>
      <c r="F22" s="66">
        <v>6</v>
      </c>
      <c r="G22" s="64">
        <v>2</v>
      </c>
      <c r="H22" s="65">
        <v>1</v>
      </c>
      <c r="I22" s="250">
        <f>SUM(D22:H22)</f>
        <v>26</v>
      </c>
      <c r="J22" s="252">
        <v>5</v>
      </c>
    </row>
    <row r="23" spans="1:10" s="3" customFormat="1" ht="24" customHeight="1" thickBot="1">
      <c r="A23" s="255"/>
      <c r="B23" s="257"/>
      <c r="C23" s="261"/>
      <c r="D23" s="68" t="str">
        <f t="shared" ref="D23:H23" si="5">IF(D22=0, "", IF(MOD(D22, $C$22) = 0, D22/ $C$22, IF(INT(D22 / $C$22) = 0, MOD(D22, $C$22) &amp; " P", INT(D22 / $C$22) &amp; " + " &amp; MOD(D22, $C$22) &amp; " P")))</f>
        <v>11 P</v>
      </c>
      <c r="E23" s="68" t="str">
        <f t="shared" si="5"/>
        <v>6 P</v>
      </c>
      <c r="F23" s="68" t="str">
        <f t="shared" si="5"/>
        <v>6 P</v>
      </c>
      <c r="G23" s="68" t="str">
        <f t="shared" si="5"/>
        <v>2 P</v>
      </c>
      <c r="H23" s="68" t="str">
        <f t="shared" si="5"/>
        <v>1 P</v>
      </c>
      <c r="I23" s="251"/>
      <c r="J23" s="253"/>
    </row>
    <row r="24" spans="1:10" s="3" customFormat="1" ht="24" customHeight="1">
      <c r="A24" s="254">
        <v>9</v>
      </c>
      <c r="B24" s="256" t="s">
        <v>92</v>
      </c>
      <c r="C24" s="260">
        <v>45</v>
      </c>
      <c r="D24" s="64">
        <v>79</v>
      </c>
      <c r="E24" s="65">
        <v>58</v>
      </c>
      <c r="F24" s="66">
        <v>2600</v>
      </c>
      <c r="G24" s="64">
        <v>5</v>
      </c>
      <c r="H24" s="65">
        <v>3</v>
      </c>
      <c r="I24" s="250">
        <f>SUM(D24:H24)</f>
        <v>2745</v>
      </c>
      <c r="J24" s="252">
        <v>64</v>
      </c>
    </row>
    <row r="25" spans="1:10" s="3" customFormat="1" ht="24" customHeight="1" thickBot="1">
      <c r="A25" s="255"/>
      <c r="B25" s="257"/>
      <c r="C25" s="261"/>
      <c r="D25" s="68" t="str">
        <f>IF(D24=0, "", IF(MOD(D24, $C$24) = 0, D24/ $C$24, IF(INT(D24 / $C$24) = 0, MOD(D24, $C$24) &amp; " P", INT(D24 / $C$24) &amp; " + " &amp; MOD(D24, $C$24) &amp; " P")))</f>
        <v>1 + 34 P</v>
      </c>
      <c r="E25" s="68" t="str">
        <f t="shared" ref="E25:H25" si="6">IF(E24=0, "", IF(MOD(E24, $C$24) = 0, E24/ $C$24, IF(INT(E24 / $C$24) = 0, MOD(E24, $C$24) &amp; " P", INT(E24 / $C$24) &amp; " + " &amp; MOD(E24, $C$24) &amp; " P")))</f>
        <v>1 + 13 P</v>
      </c>
      <c r="F25" s="68" t="str">
        <f t="shared" si="6"/>
        <v>57 + 35 P</v>
      </c>
      <c r="G25" s="68" t="str">
        <f t="shared" si="6"/>
        <v>5 P</v>
      </c>
      <c r="H25" s="68" t="str">
        <f t="shared" si="6"/>
        <v>3 P</v>
      </c>
      <c r="I25" s="251"/>
      <c r="J25" s="253"/>
    </row>
    <row r="26" spans="1:10" s="3" customFormat="1" ht="24" customHeight="1">
      <c r="A26" s="254">
        <v>10</v>
      </c>
      <c r="B26" s="256" t="s">
        <v>90</v>
      </c>
      <c r="C26" s="258">
        <v>27</v>
      </c>
      <c r="D26" s="64">
        <v>137</v>
      </c>
      <c r="E26" s="65">
        <v>92</v>
      </c>
      <c r="F26" s="66">
        <v>138</v>
      </c>
      <c r="G26" s="64">
        <v>42</v>
      </c>
      <c r="H26" s="65">
        <v>43</v>
      </c>
      <c r="I26" s="250">
        <f>SUM(C26:H26)</f>
        <v>479</v>
      </c>
      <c r="J26" s="252">
        <v>20</v>
      </c>
    </row>
    <row r="27" spans="1:10" s="3" customFormat="1" ht="24" customHeight="1" thickBot="1">
      <c r="A27" s="255"/>
      <c r="B27" s="257"/>
      <c r="C27" s="259"/>
      <c r="D27" s="68" t="str">
        <f>IF(D26=0, "", IF(MOD(D26, $C$26) = 0, D26/ $C$26, IF(INT(D26 / $C$26) = 0, MOD(D26, $C$26) &amp; " P", INT(D26 / $C$26) &amp; " + " &amp; MOD(D26, $C$26) &amp; " P")))</f>
        <v>5 + 2 P</v>
      </c>
      <c r="E27" s="68" t="str">
        <f t="shared" ref="E27:H27" si="7">IF(E26=0, "", IF(MOD(E26, $C$26) = 0, E26/ $C$26, IF(INT(E26 / $C$26) = 0, MOD(E26, $C$26) &amp; " P", INT(E26 / $C$26) &amp; " + " &amp; MOD(E26, $C$26) &amp; " P")))</f>
        <v>3 + 11 P</v>
      </c>
      <c r="F27" s="68" t="str">
        <f t="shared" si="7"/>
        <v>5 + 3 P</v>
      </c>
      <c r="G27" s="68" t="str">
        <f t="shared" si="7"/>
        <v>1 + 15 P</v>
      </c>
      <c r="H27" s="68" t="str">
        <f t="shared" si="7"/>
        <v>1 + 16 P</v>
      </c>
      <c r="I27" s="251"/>
      <c r="J27" s="253"/>
    </row>
    <row r="28" spans="1:10" s="3" customFormat="1" ht="24" customHeight="1">
      <c r="A28" s="254">
        <v>13</v>
      </c>
      <c r="B28" s="256" t="s">
        <v>62</v>
      </c>
      <c r="C28" s="260">
        <v>20</v>
      </c>
      <c r="D28" s="64">
        <v>93</v>
      </c>
      <c r="E28" s="65">
        <v>82</v>
      </c>
      <c r="F28" s="66">
        <v>69</v>
      </c>
      <c r="G28" s="64">
        <v>13</v>
      </c>
      <c r="H28" s="65">
        <v>15</v>
      </c>
      <c r="I28" s="250">
        <f>SUM(D28:H28)</f>
        <v>272</v>
      </c>
      <c r="J28" s="252">
        <v>16</v>
      </c>
    </row>
    <row r="29" spans="1:10" s="3" customFormat="1" ht="24" customHeight="1" thickBot="1">
      <c r="A29" s="255"/>
      <c r="B29" s="257"/>
      <c r="C29" s="261"/>
      <c r="D29" s="68" t="str">
        <f t="shared" ref="D29:H29" si="8">IF(D28=0, "", IF(MOD(D28, $C$28) = 0, D28/ $C$28, IF(INT(D28 / $C$28) = 0, MOD(D28, $C$28) &amp; " P", INT(D28 / $C$28) &amp; " + " &amp; MOD(D28, $C$28) &amp; " P")))</f>
        <v>4 + 13 P</v>
      </c>
      <c r="E29" s="68" t="str">
        <f t="shared" si="8"/>
        <v>4 + 2 P</v>
      </c>
      <c r="F29" s="68" t="str">
        <f t="shared" si="8"/>
        <v>3 + 9 P</v>
      </c>
      <c r="G29" s="68" t="str">
        <f t="shared" si="8"/>
        <v>13 P</v>
      </c>
      <c r="H29" s="68" t="str">
        <f t="shared" si="8"/>
        <v>15 P</v>
      </c>
      <c r="I29" s="251"/>
      <c r="J29" s="253"/>
    </row>
    <row r="30" spans="1:10" s="3" customFormat="1" ht="24" customHeight="1">
      <c r="A30" s="254">
        <v>14</v>
      </c>
      <c r="B30" s="256" t="s">
        <v>63</v>
      </c>
      <c r="C30" s="260">
        <v>32</v>
      </c>
      <c r="D30" s="64">
        <v>47</v>
      </c>
      <c r="E30" s="65">
        <v>39</v>
      </c>
      <c r="F30" s="66">
        <v>30</v>
      </c>
      <c r="G30" s="64">
        <v>12</v>
      </c>
      <c r="H30" s="65">
        <v>6</v>
      </c>
      <c r="I30" s="250">
        <f>SUM(D30:H30)</f>
        <v>134</v>
      </c>
      <c r="J30" s="252">
        <v>7</v>
      </c>
    </row>
    <row r="31" spans="1:10" s="3" customFormat="1" ht="24" customHeight="1" thickBot="1">
      <c r="A31" s="255"/>
      <c r="B31" s="257"/>
      <c r="C31" s="261"/>
      <c r="D31" s="68" t="str">
        <f t="shared" ref="D31:H31" si="9">IF(D30=0, "", IF(MOD(D30, $C$30) = 0, D30/ $C$30, IF(INT(D30 / $C$30) = 0, MOD(D30, $C$30) &amp; " P", INT(D30 / $C$30) &amp; " + " &amp; MOD(D30, $C$30) &amp; " P")))</f>
        <v>1 + 15 P</v>
      </c>
      <c r="E31" s="68" t="str">
        <f t="shared" si="9"/>
        <v>1 + 7 P</v>
      </c>
      <c r="F31" s="68" t="str">
        <f t="shared" si="9"/>
        <v>30 P</v>
      </c>
      <c r="G31" s="68" t="str">
        <f t="shared" si="9"/>
        <v>12 P</v>
      </c>
      <c r="H31" s="68" t="str">
        <f t="shared" si="9"/>
        <v>6 P</v>
      </c>
      <c r="I31" s="251"/>
      <c r="J31" s="253"/>
    </row>
    <row r="32" spans="1:10" s="3" customFormat="1" ht="24" customHeight="1">
      <c r="A32" s="254">
        <v>15</v>
      </c>
      <c r="B32" s="262" t="s">
        <v>64</v>
      </c>
      <c r="C32" s="264">
        <v>45</v>
      </c>
      <c r="D32" s="64">
        <v>17</v>
      </c>
      <c r="E32" s="65">
        <v>6</v>
      </c>
      <c r="F32" s="66">
        <v>8</v>
      </c>
      <c r="G32" s="64">
        <v>0</v>
      </c>
      <c r="H32" s="65">
        <v>3</v>
      </c>
      <c r="I32" s="250">
        <f>SUM(D32:H32)</f>
        <v>34</v>
      </c>
      <c r="J32" s="252">
        <v>4</v>
      </c>
    </row>
    <row r="33" spans="1:11" s="3" customFormat="1" ht="24" customHeight="1" thickBot="1">
      <c r="A33" s="255"/>
      <c r="B33" s="263"/>
      <c r="C33" s="265"/>
      <c r="D33" s="68" t="str">
        <f t="shared" ref="D33:H33" si="10">IF(D32=0, "", IF(MOD(D32, $C$32) = 0, D32/ $C$32, IF(INT(D32 / $C$32) = 0, MOD(D32, $C$32) &amp; " P", INT(D32 / $C$32) &amp; " + " &amp; MOD(D32, $C$32) &amp; " P")))</f>
        <v>17 P</v>
      </c>
      <c r="E33" s="68" t="str">
        <f t="shared" si="10"/>
        <v>6 P</v>
      </c>
      <c r="F33" s="68" t="str">
        <f t="shared" si="10"/>
        <v>8 P</v>
      </c>
      <c r="G33" s="68" t="str">
        <f t="shared" si="10"/>
        <v/>
      </c>
      <c r="H33" s="68" t="str">
        <f t="shared" si="10"/>
        <v>3 P</v>
      </c>
      <c r="I33" s="251"/>
      <c r="J33" s="253"/>
    </row>
    <row r="34" spans="1:11" s="3" customFormat="1" ht="33" customHeight="1" thickBot="1">
      <c r="A34" s="26"/>
      <c r="B34" s="248" t="s">
        <v>86</v>
      </c>
      <c r="C34" s="249"/>
      <c r="D34" s="59">
        <v>72</v>
      </c>
      <c r="E34" s="59">
        <v>60</v>
      </c>
      <c r="F34" s="59">
        <v>115</v>
      </c>
      <c r="G34" s="59">
        <v>23</v>
      </c>
      <c r="H34" s="59">
        <v>26</v>
      </c>
      <c r="I34" s="55" t="s">
        <v>88</v>
      </c>
      <c r="J34" s="42">
        <f>SUM(J12:J33)</f>
        <v>271</v>
      </c>
      <c r="K34" s="27"/>
    </row>
    <row r="35" spans="1:11" s="3" customFormat="1" ht="15" customHeight="1" thickBot="1">
      <c r="J35" s="53"/>
    </row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245" t="s">
        <v>95</v>
      </c>
      <c r="H36" s="246"/>
      <c r="I36" s="246"/>
      <c r="J36" s="246"/>
      <c r="K36" s="246"/>
    </row>
    <row r="37" spans="1:11" s="3" customFormat="1" ht="33" customHeight="1" thickBot="1">
      <c r="B37" s="37" t="s">
        <v>79</v>
      </c>
      <c r="C37" s="38"/>
      <c r="D37" s="38"/>
      <c r="E37" s="38"/>
      <c r="F37" s="38"/>
      <c r="G37" s="30"/>
      <c r="H37" s="247" t="s">
        <v>80</v>
      </c>
      <c r="I37" s="247"/>
      <c r="J37" s="247"/>
      <c r="K37" s="247"/>
    </row>
    <row r="38" spans="1:11" s="3" customFormat="1" ht="33" customHeight="1" thickBot="1">
      <c r="B38" s="37" t="s">
        <v>81</v>
      </c>
      <c r="C38" s="38"/>
      <c r="D38" s="38"/>
      <c r="E38" s="38"/>
      <c r="F38" s="38"/>
      <c r="G38" s="30"/>
      <c r="H38" s="31"/>
      <c r="I38" s="33" t="s">
        <v>82</v>
      </c>
      <c r="J38" s="56" t="s">
        <v>55</v>
      </c>
    </row>
    <row r="39" spans="1:11" s="3" customFormat="1" ht="33" customHeight="1" thickBot="1">
      <c r="B39" s="37" t="s">
        <v>83</v>
      </c>
      <c r="C39" s="38"/>
      <c r="D39" s="38"/>
      <c r="E39" s="38"/>
      <c r="F39" s="38"/>
      <c r="G39" s="30"/>
      <c r="H39" s="31"/>
      <c r="I39" s="32"/>
      <c r="J39" s="57"/>
    </row>
    <row r="40" spans="1:11" s="3" customFormat="1" ht="15" customHeight="1">
      <c r="J40" s="53"/>
    </row>
    <row r="41" spans="1:11" s="3" customFormat="1" ht="40.200000000000003" customHeight="1" thickBot="1">
      <c r="H41" s="36" t="s">
        <v>85</v>
      </c>
      <c r="I41" s="35"/>
      <c r="J41" s="58"/>
      <c r="K41" s="35"/>
    </row>
    <row r="42" spans="1:11" s="3" customFormat="1" ht="28.5" customHeight="1">
      <c r="J42" s="53"/>
    </row>
  </sheetData>
  <mergeCells count="70">
    <mergeCell ref="E2:F3"/>
    <mergeCell ref="H2:J3"/>
    <mergeCell ref="A5:C6"/>
    <mergeCell ref="A7:B11"/>
    <mergeCell ref="C7:C11"/>
    <mergeCell ref="D10:E10"/>
    <mergeCell ref="G10:H10"/>
    <mergeCell ref="D5:J6"/>
    <mergeCell ref="D7:H8"/>
    <mergeCell ref="I7:J10"/>
    <mergeCell ref="D9:E9"/>
    <mergeCell ref="G9:H9"/>
    <mergeCell ref="A14:A15"/>
    <mergeCell ref="B14:B15"/>
    <mergeCell ref="C14:C15"/>
    <mergeCell ref="A16:A17"/>
    <mergeCell ref="C22:C23"/>
    <mergeCell ref="A20:A21"/>
    <mergeCell ref="C20:C21"/>
    <mergeCell ref="A22:A23"/>
    <mergeCell ref="B22:B23"/>
    <mergeCell ref="J14:J15"/>
    <mergeCell ref="I16:I17"/>
    <mergeCell ref="J16:J17"/>
    <mergeCell ref="I22:I23"/>
    <mergeCell ref="J22:J23"/>
    <mergeCell ref="J12:J13"/>
    <mergeCell ref="I12:I13"/>
    <mergeCell ref="I20:I21"/>
    <mergeCell ref="J20:J21"/>
    <mergeCell ref="A12:A13"/>
    <mergeCell ref="B12:B13"/>
    <mergeCell ref="C12:C13"/>
    <mergeCell ref="B16:B17"/>
    <mergeCell ref="C16:C17"/>
    <mergeCell ref="A18:A19"/>
    <mergeCell ref="B18:B19"/>
    <mergeCell ref="C18:C19"/>
    <mergeCell ref="B20:B21"/>
    <mergeCell ref="I18:I19"/>
    <mergeCell ref="J18:J19"/>
    <mergeCell ref="I14:I15"/>
    <mergeCell ref="A32:A33"/>
    <mergeCell ref="B32:B33"/>
    <mergeCell ref="C32:C33"/>
    <mergeCell ref="A28:A29"/>
    <mergeCell ref="B28:B29"/>
    <mergeCell ref="C28:C29"/>
    <mergeCell ref="A30:A31"/>
    <mergeCell ref="B30:B31"/>
    <mergeCell ref="C30:C31"/>
    <mergeCell ref="A26:A27"/>
    <mergeCell ref="B26:B27"/>
    <mergeCell ref="C26:C27"/>
    <mergeCell ref="A24:A25"/>
    <mergeCell ref="B24:B25"/>
    <mergeCell ref="C24:C25"/>
    <mergeCell ref="I24:I25"/>
    <mergeCell ref="J24:J25"/>
    <mergeCell ref="I30:I31"/>
    <mergeCell ref="J30:J31"/>
    <mergeCell ref="I32:I33"/>
    <mergeCell ref="J32:J33"/>
    <mergeCell ref="I28:I29"/>
    <mergeCell ref="J28:J29"/>
    <mergeCell ref="G36:K36"/>
    <mergeCell ref="H37:K37"/>
    <mergeCell ref="B34:C34"/>
    <mergeCell ref="I26:I27"/>
    <mergeCell ref="J26:J27"/>
  </mergeCells>
  <pageMargins left="0.42" right="0.28999999999999998" top="0.48" bottom="0.46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5"/>
  <sheetViews>
    <sheetView topLeftCell="A22" workbookViewId="0">
      <selection activeCell="D33" sqref="D33"/>
    </sheetView>
  </sheetViews>
  <sheetFormatPr defaultRowHeight="14.4"/>
  <cols>
    <col min="2" max="2" width="41.6640625" customWidth="1"/>
    <col min="3" max="3" width="10.44140625" bestFit="1" customWidth="1"/>
    <col min="4" max="4" width="49.21875" customWidth="1"/>
    <col min="5" max="5" width="11.6640625" customWidth="1"/>
    <col min="6" max="6" width="11.21875" style="60" customWidth="1"/>
    <col min="7" max="7" width="11" style="60" customWidth="1"/>
  </cols>
  <sheetData>
    <row r="1" spans="1:7" s="3" customFormat="1" ht="15" customHeight="1"/>
    <row r="2" spans="1:7" s="3" customFormat="1" ht="15" customHeight="1">
      <c r="E2" s="266"/>
      <c r="F2" s="266"/>
    </row>
    <row r="3" spans="1:7" s="3" customFormat="1" ht="15" customHeight="1">
      <c r="E3" s="266"/>
      <c r="F3" s="266"/>
      <c r="G3" s="61"/>
    </row>
    <row r="4" spans="1:7" s="3" customFormat="1" ht="15" customHeight="1" thickBot="1">
      <c r="E4" s="39"/>
      <c r="F4" s="39"/>
      <c r="G4" s="61"/>
    </row>
    <row r="5" spans="1:7" s="3" customFormat="1" ht="29.25" customHeight="1">
      <c r="A5" s="268" t="s">
        <v>91</v>
      </c>
      <c r="B5" s="268"/>
      <c r="C5" s="269"/>
      <c r="D5" s="285" t="s">
        <v>69</v>
      </c>
      <c r="E5" s="286"/>
      <c r="F5" s="287"/>
    </row>
    <row r="6" spans="1:7" s="3" customFormat="1" ht="15" customHeight="1" thickBot="1">
      <c r="A6" s="270"/>
      <c r="B6" s="270"/>
      <c r="C6" s="271"/>
      <c r="D6" s="288"/>
      <c r="E6" s="289"/>
      <c r="F6" s="290"/>
    </row>
    <row r="7" spans="1:7" s="3" customFormat="1" ht="15" customHeight="1">
      <c r="A7" s="272" t="s">
        <v>84</v>
      </c>
      <c r="B7" s="273"/>
      <c r="C7" s="278" t="s">
        <v>35</v>
      </c>
      <c r="D7" s="310" t="s">
        <v>97</v>
      </c>
      <c r="E7" s="297" t="s">
        <v>77</v>
      </c>
      <c r="F7" s="298"/>
      <c r="G7" s="29"/>
    </row>
    <row r="8" spans="1:7" s="3" customFormat="1" ht="15" customHeight="1" thickBot="1">
      <c r="A8" s="274"/>
      <c r="B8" s="275"/>
      <c r="C8" s="279"/>
      <c r="D8" s="311"/>
      <c r="E8" s="299"/>
      <c r="F8" s="300"/>
      <c r="G8" s="29"/>
    </row>
    <row r="9" spans="1:7" s="3" customFormat="1" ht="24.6" customHeight="1" thickBot="1">
      <c r="A9" s="274"/>
      <c r="B9" s="275"/>
      <c r="C9" s="279"/>
      <c r="D9" s="46" t="s">
        <v>89</v>
      </c>
      <c r="E9" s="299"/>
      <c r="F9" s="300"/>
    </row>
    <row r="10" spans="1:7" s="3" customFormat="1" ht="25.95" customHeight="1" thickBot="1">
      <c r="A10" s="274"/>
      <c r="B10" s="275"/>
      <c r="C10" s="279"/>
      <c r="D10" s="47" t="s">
        <v>69</v>
      </c>
      <c r="E10" s="312"/>
      <c r="F10" s="303"/>
    </row>
    <row r="11" spans="1:7" s="3" customFormat="1" ht="28.95" customHeight="1" thickBot="1">
      <c r="A11" s="276"/>
      <c r="B11" s="277"/>
      <c r="C11" s="280"/>
      <c r="D11" s="48" t="s">
        <v>0</v>
      </c>
      <c r="E11" s="62" t="s">
        <v>68</v>
      </c>
      <c r="F11" s="41" t="s">
        <v>67</v>
      </c>
    </row>
    <row r="12" spans="1:7" s="3" customFormat="1" ht="24" customHeight="1">
      <c r="A12" s="254">
        <v>1</v>
      </c>
      <c r="B12" s="262" t="s">
        <v>57</v>
      </c>
      <c r="C12" s="264">
        <v>32</v>
      </c>
      <c r="D12" s="51">
        <v>2109</v>
      </c>
      <c r="E12" s="308">
        <f>SUM(D12:D12)</f>
        <v>2109</v>
      </c>
      <c r="F12" s="252">
        <v>66</v>
      </c>
    </row>
    <row r="13" spans="1:7" s="3" customFormat="1" ht="24" customHeight="1" thickBot="1">
      <c r="A13" s="255"/>
      <c r="B13" s="263"/>
      <c r="C13" s="265"/>
      <c r="D13" s="63" t="s">
        <v>98</v>
      </c>
      <c r="E13" s="309"/>
      <c r="F13" s="253"/>
    </row>
    <row r="14" spans="1:7" s="3" customFormat="1" ht="24" customHeight="1">
      <c r="A14" s="254">
        <v>2</v>
      </c>
      <c r="B14" s="262" t="s">
        <v>58</v>
      </c>
      <c r="C14" s="264">
        <v>32</v>
      </c>
      <c r="D14" s="51">
        <v>175</v>
      </c>
      <c r="E14" s="308">
        <f>SUM(D14:D14)</f>
        <v>175</v>
      </c>
      <c r="F14" s="252">
        <v>6</v>
      </c>
    </row>
    <row r="15" spans="1:7" s="3" customFormat="1" ht="24" customHeight="1" thickBot="1">
      <c r="A15" s="255"/>
      <c r="B15" s="263"/>
      <c r="C15" s="265"/>
      <c r="D15" s="52" t="s">
        <v>99</v>
      </c>
      <c r="E15" s="309"/>
      <c r="F15" s="253"/>
    </row>
    <row r="16" spans="1:7" s="3" customFormat="1" ht="24" customHeight="1">
      <c r="A16" s="254">
        <v>3</v>
      </c>
      <c r="B16" s="262" t="s">
        <v>93</v>
      </c>
      <c r="C16" s="264">
        <v>27</v>
      </c>
      <c r="D16" s="51">
        <v>77</v>
      </c>
      <c r="E16" s="308">
        <f>SUM(D16:D16)</f>
        <v>77</v>
      </c>
      <c r="F16" s="252">
        <v>3</v>
      </c>
    </row>
    <row r="17" spans="1:6" s="3" customFormat="1" ht="24" customHeight="1" thickBot="1">
      <c r="A17" s="255"/>
      <c r="B17" s="263"/>
      <c r="C17" s="265"/>
      <c r="D17" s="52" t="s">
        <v>100</v>
      </c>
      <c r="E17" s="309"/>
      <c r="F17" s="253"/>
    </row>
    <row r="18" spans="1:6" s="3" customFormat="1" ht="24" customHeight="1">
      <c r="A18" s="254">
        <v>5</v>
      </c>
      <c r="B18" s="256" t="s">
        <v>59</v>
      </c>
      <c r="C18" s="260">
        <v>36</v>
      </c>
      <c r="D18" s="51">
        <v>184</v>
      </c>
      <c r="E18" s="308">
        <f>SUM(D18:D18)</f>
        <v>184</v>
      </c>
      <c r="F18" s="252">
        <v>6</v>
      </c>
    </row>
    <row r="19" spans="1:6" s="3" customFormat="1" ht="24" customHeight="1" thickBot="1">
      <c r="A19" s="255"/>
      <c r="B19" s="257"/>
      <c r="C19" s="261"/>
      <c r="D19" s="52" t="s">
        <v>101</v>
      </c>
      <c r="E19" s="309"/>
      <c r="F19" s="253"/>
    </row>
    <row r="20" spans="1:6" s="3" customFormat="1" ht="24" customHeight="1">
      <c r="A20" s="254">
        <v>6</v>
      </c>
      <c r="B20" s="256" t="s">
        <v>60</v>
      </c>
      <c r="C20" s="260">
        <v>15</v>
      </c>
      <c r="D20" s="51">
        <v>112</v>
      </c>
      <c r="E20" s="308">
        <f>SUM(D20:D20)</f>
        <v>112</v>
      </c>
      <c r="F20" s="252">
        <v>8</v>
      </c>
    </row>
    <row r="21" spans="1:6" s="3" customFormat="1" ht="24" customHeight="1" thickBot="1">
      <c r="A21" s="255"/>
      <c r="B21" s="257"/>
      <c r="C21" s="261"/>
      <c r="D21" s="52" t="s">
        <v>102</v>
      </c>
      <c r="E21" s="309"/>
      <c r="F21" s="253"/>
    </row>
    <row r="22" spans="1:6" s="3" customFormat="1" ht="24" customHeight="1">
      <c r="A22" s="254">
        <v>7</v>
      </c>
      <c r="B22" s="256" t="s">
        <v>61</v>
      </c>
      <c r="C22" s="260">
        <v>45</v>
      </c>
      <c r="D22" s="51">
        <v>7</v>
      </c>
      <c r="E22" s="308">
        <f>SUM(D22:D22)</f>
        <v>7</v>
      </c>
      <c r="F22" s="252">
        <v>1</v>
      </c>
    </row>
    <row r="23" spans="1:6" s="3" customFormat="1" ht="24" customHeight="1" thickBot="1">
      <c r="A23" s="255"/>
      <c r="B23" s="257"/>
      <c r="C23" s="261"/>
      <c r="D23" s="52" t="s">
        <v>103</v>
      </c>
      <c r="E23" s="309"/>
      <c r="F23" s="253"/>
    </row>
    <row r="24" spans="1:6" s="3" customFormat="1" ht="24" customHeight="1">
      <c r="A24" s="254">
        <v>9</v>
      </c>
      <c r="B24" s="256" t="s">
        <v>92</v>
      </c>
      <c r="C24" s="260">
        <v>45</v>
      </c>
      <c r="D24" s="51">
        <v>0</v>
      </c>
      <c r="E24" s="308">
        <f>SUM(D24:D24)</f>
        <v>0</v>
      </c>
      <c r="F24" s="252">
        <v>0</v>
      </c>
    </row>
    <row r="25" spans="1:6" s="3" customFormat="1" ht="24" customHeight="1" thickBot="1">
      <c r="A25" s="255"/>
      <c r="B25" s="257"/>
      <c r="C25" s="261"/>
      <c r="D25" s="52"/>
      <c r="E25" s="309"/>
      <c r="F25" s="253"/>
    </row>
    <row r="26" spans="1:6" s="3" customFormat="1" ht="24" customHeight="1">
      <c r="A26" s="254">
        <v>9</v>
      </c>
      <c r="B26" s="256" t="s">
        <v>90</v>
      </c>
      <c r="C26" s="258">
        <v>27</v>
      </c>
      <c r="D26" s="51">
        <v>254</v>
      </c>
      <c r="E26" s="308">
        <f>SUM(D26:D26)</f>
        <v>254</v>
      </c>
      <c r="F26" s="252">
        <v>10</v>
      </c>
    </row>
    <row r="27" spans="1:6" s="3" customFormat="1" ht="24" customHeight="1" thickBot="1">
      <c r="A27" s="255"/>
      <c r="B27" s="257"/>
      <c r="C27" s="259"/>
      <c r="D27" s="52" t="s">
        <v>104</v>
      </c>
      <c r="E27" s="309"/>
      <c r="F27" s="253"/>
    </row>
    <row r="28" spans="1:6" s="3" customFormat="1" ht="24" customHeight="1">
      <c r="A28" s="254">
        <v>12</v>
      </c>
      <c r="B28" s="256" t="s">
        <v>62</v>
      </c>
      <c r="C28" s="260">
        <v>20</v>
      </c>
      <c r="D28" s="51">
        <v>153</v>
      </c>
      <c r="E28" s="308">
        <f>SUM(D28:D28)</f>
        <v>153</v>
      </c>
      <c r="F28" s="252">
        <v>8</v>
      </c>
    </row>
    <row r="29" spans="1:6" s="3" customFormat="1" ht="24" customHeight="1" thickBot="1">
      <c r="A29" s="255"/>
      <c r="B29" s="257"/>
      <c r="C29" s="261"/>
      <c r="D29" s="52" t="s">
        <v>105</v>
      </c>
      <c r="E29" s="309"/>
      <c r="F29" s="253"/>
    </row>
    <row r="30" spans="1:6" s="3" customFormat="1" ht="24" customHeight="1">
      <c r="A30" s="254">
        <v>13</v>
      </c>
      <c r="B30" s="256" t="s">
        <v>63</v>
      </c>
      <c r="C30" s="260">
        <v>32</v>
      </c>
      <c r="D30" s="51">
        <v>81</v>
      </c>
      <c r="E30" s="308">
        <f>SUM(D30:D30)</f>
        <v>81</v>
      </c>
      <c r="F30" s="252">
        <v>3</v>
      </c>
    </row>
    <row r="31" spans="1:6" s="3" customFormat="1" ht="24" customHeight="1" thickBot="1">
      <c r="A31" s="255"/>
      <c r="B31" s="257"/>
      <c r="C31" s="261"/>
      <c r="D31" s="52" t="s">
        <v>106</v>
      </c>
      <c r="E31" s="309"/>
      <c r="F31" s="253"/>
    </row>
    <row r="32" spans="1:6" s="3" customFormat="1" ht="24" customHeight="1">
      <c r="A32" s="254">
        <v>14</v>
      </c>
      <c r="B32" s="262" t="s">
        <v>64</v>
      </c>
      <c r="C32" s="264">
        <v>45</v>
      </c>
      <c r="D32" s="51">
        <v>16</v>
      </c>
      <c r="E32" s="308">
        <f>SUM(D32:D32)</f>
        <v>16</v>
      </c>
      <c r="F32" s="252">
        <v>1</v>
      </c>
    </row>
    <row r="33" spans="1:11" s="3" customFormat="1" ht="24" customHeight="1" thickBot="1">
      <c r="A33" s="255"/>
      <c r="B33" s="263"/>
      <c r="C33" s="265"/>
      <c r="D33" s="52" t="s">
        <v>107</v>
      </c>
      <c r="E33" s="309"/>
      <c r="F33" s="253"/>
    </row>
    <row r="34" spans="1:11" s="3" customFormat="1" ht="33" customHeight="1" thickBot="1">
      <c r="A34" s="26"/>
      <c r="B34" s="248" t="s">
        <v>86</v>
      </c>
      <c r="C34" s="249"/>
      <c r="D34" s="59">
        <v>125</v>
      </c>
      <c r="E34" s="55" t="s">
        <v>88</v>
      </c>
      <c r="F34" s="42">
        <f>SUM(F12:F33)</f>
        <v>112</v>
      </c>
      <c r="G34" s="27"/>
    </row>
    <row r="35" spans="1:11" s="3" customFormat="1" ht="15" customHeight="1" thickBot="1"/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70"/>
    </row>
    <row r="37" spans="1:11" s="3" customFormat="1" ht="25.2" customHeight="1" thickBot="1">
      <c r="B37" s="37" t="s">
        <v>79</v>
      </c>
      <c r="C37" s="38"/>
      <c r="D37" s="38"/>
      <c r="E37" s="38"/>
      <c r="F37" s="38"/>
      <c r="G37" s="30"/>
      <c r="K37" s="71"/>
    </row>
    <row r="38" spans="1:11" s="3" customFormat="1" ht="25.2" customHeight="1" thickBot="1">
      <c r="B38" s="37" t="s">
        <v>81</v>
      </c>
      <c r="C38" s="38"/>
      <c r="D38" s="38"/>
      <c r="E38" s="38"/>
      <c r="F38" s="38"/>
      <c r="G38" s="30"/>
    </row>
    <row r="39" spans="1:11" s="3" customFormat="1" ht="25.2" customHeight="1" thickBot="1">
      <c r="B39" s="37" t="s">
        <v>83</v>
      </c>
      <c r="C39" s="38"/>
      <c r="D39" s="38"/>
      <c r="E39" s="38"/>
      <c r="F39" s="38"/>
      <c r="G39" s="30"/>
    </row>
    <row r="40" spans="1:11" s="3" customFormat="1" ht="15" customHeight="1"/>
    <row r="41" spans="1:11" s="3" customFormat="1" ht="31.95" customHeight="1">
      <c r="D41" s="313" t="s">
        <v>108</v>
      </c>
      <c r="E41" s="314"/>
      <c r="F41" s="314"/>
      <c r="G41" s="314"/>
    </row>
    <row r="42" spans="1:11" s="3" customFormat="1" ht="31.95" customHeight="1" thickBot="1">
      <c r="D42" s="247" t="s">
        <v>80</v>
      </c>
      <c r="E42" s="247"/>
      <c r="F42" s="247"/>
      <c r="G42" s="247"/>
    </row>
    <row r="43" spans="1:11" ht="24" thickBot="1">
      <c r="D43" s="31"/>
      <c r="E43" s="33" t="s">
        <v>82</v>
      </c>
      <c r="F43" s="56" t="s">
        <v>55</v>
      </c>
      <c r="G43" s="3"/>
    </row>
    <row r="44" spans="1:11" ht="24" thickBot="1">
      <c r="D44" s="31"/>
      <c r="E44" s="32"/>
      <c r="F44" s="57"/>
      <c r="G44" s="3"/>
    </row>
    <row r="45" spans="1:11" ht="29.4" thickBot="1">
      <c r="D45" s="36" t="s">
        <v>85</v>
      </c>
      <c r="E45" s="35"/>
      <c r="F45" s="58"/>
      <c r="G45" s="35"/>
    </row>
  </sheetData>
  <mergeCells count="65">
    <mergeCell ref="E2:F3"/>
    <mergeCell ref="A32:A33"/>
    <mergeCell ref="B32:B33"/>
    <mergeCell ref="C32:C33"/>
    <mergeCell ref="A22:A23"/>
    <mergeCell ref="B22:B23"/>
    <mergeCell ref="C22:C23"/>
    <mergeCell ref="A28:A29"/>
    <mergeCell ref="C28:C29"/>
    <mergeCell ref="A20:A21"/>
    <mergeCell ref="B20:B21"/>
    <mergeCell ref="A30:A31"/>
    <mergeCell ref="B30:B31"/>
    <mergeCell ref="C30:C31"/>
    <mergeCell ref="A26:A27"/>
    <mergeCell ref="B26:B27"/>
    <mergeCell ref="D41:G41"/>
    <mergeCell ref="D42:G42"/>
    <mergeCell ref="A5:C6"/>
    <mergeCell ref="A7:B11"/>
    <mergeCell ref="C7:C11"/>
    <mergeCell ref="A16:A17"/>
    <mergeCell ref="B16:B17"/>
    <mergeCell ref="C16:C17"/>
    <mergeCell ref="A14:A15"/>
    <mergeCell ref="A12:A13"/>
    <mergeCell ref="B14:B15"/>
    <mergeCell ref="C14:C15"/>
    <mergeCell ref="C12:C13"/>
    <mergeCell ref="B12:B13"/>
    <mergeCell ref="B34:C34"/>
    <mergeCell ref="B28:B29"/>
    <mergeCell ref="C26:C27"/>
    <mergeCell ref="A24:A25"/>
    <mergeCell ref="B24:B25"/>
    <mergeCell ref="C24:C25"/>
    <mergeCell ref="E24:E25"/>
    <mergeCell ref="E26:E27"/>
    <mergeCell ref="A18:A19"/>
    <mergeCell ref="B18:B19"/>
    <mergeCell ref="C18:C19"/>
    <mergeCell ref="C20:C21"/>
    <mergeCell ref="D5:F6"/>
    <mergeCell ref="D7:D8"/>
    <mergeCell ref="E7:F10"/>
    <mergeCell ref="E20:E21"/>
    <mergeCell ref="F20:F21"/>
    <mergeCell ref="F24:F25"/>
    <mergeCell ref="E16:E17"/>
    <mergeCell ref="E12:E13"/>
    <mergeCell ref="E18:E19"/>
    <mergeCell ref="F18:F19"/>
    <mergeCell ref="F16:F17"/>
    <mergeCell ref="F12:F13"/>
    <mergeCell ref="E14:E15"/>
    <mergeCell ref="F14:F15"/>
    <mergeCell ref="E22:E23"/>
    <mergeCell ref="F22:F23"/>
    <mergeCell ref="F26:F27"/>
    <mergeCell ref="E32:E33"/>
    <mergeCell ref="F32:F33"/>
    <mergeCell ref="E28:E29"/>
    <mergeCell ref="F28:F29"/>
    <mergeCell ref="E30:E31"/>
    <mergeCell ref="F30:F31"/>
  </mergeCells>
  <pageMargins left="0.37" right="0.33" top="0.17" bottom="0.74803149606299213" header="0.17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บางบัวทอง-ผลิต</vt:lpstr>
      <vt:lpstr>บางบัวทอง-รถ</vt:lpstr>
      <vt:lpstr>คันที่ 1</vt:lpstr>
      <vt:lpstr>คันที่ 2</vt:lpstr>
      <vt:lpstr>'คันที่ 1'!Print_Area</vt:lpstr>
      <vt:lpstr>'คันที่ 2'!Print_Area</vt:lpstr>
      <vt:lpstr>'บางบัวทอง-ผลิต'!Print_Area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2026-09-07T07:57:18Z</cp:lastPrinted>
  <dcterms:created xsi:type="dcterms:W3CDTF">2025-08-23T13:26:05Z</dcterms:created>
  <dcterms:modified xsi:type="dcterms:W3CDTF">2026-09-08T03:58:45Z</dcterms:modified>
</cp:coreProperties>
</file>