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ห้าง 7-11+ใบงาน\AUG 26\รอบเย็น\190826\"/>
    </mc:Choice>
  </mc:AlternateContent>
  <xr:revisionPtr revIDLastSave="0" documentId="13_ncr:1_{E86ACE06-6F18-4698-8AA3-5DCB8F53C065}" xr6:coauthVersionLast="47" xr6:coauthVersionMax="47" xr10:uidLastSave="{00000000-0000-0000-0000-000000000000}"/>
  <bookViews>
    <workbookView xWindow="-108" yWindow="-108" windowWidth="23256" windowHeight="12456" tabRatio="399" xr2:uid="{00000000-000D-0000-FFFF-FFFF00000000}"/>
  </bookViews>
  <sheets>
    <sheet name="มหาชัย-ผลิต" sheetId="5" r:id="rId1"/>
    <sheet name="มหาชัย" sheetId="3" r:id="rId2"/>
    <sheet name="คันที่ 2" sheetId="7" r:id="rId3"/>
    <sheet name="คันที่ 1" sheetId="8" r:id="rId4"/>
  </sheets>
  <definedNames>
    <definedName name="_xlnm.Print_Area" localSheetId="3">'คันที่ 1'!$A$2:$F$49</definedName>
    <definedName name="_xlnm.Print_Area" localSheetId="2">'คันที่ 2'!$A$1:$F$28</definedName>
    <definedName name="_xlnm.Print_Area" localSheetId="0">'มหาชัย-ผลิต'!$B$4:$H$56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5" l="1"/>
  <c r="C29" i="3"/>
  <c r="D27" i="3"/>
  <c r="D28" i="3"/>
  <c r="C28" i="3" s="1"/>
  <c r="G44" i="5" s="1"/>
  <c r="E45" i="5"/>
  <c r="F44" i="5"/>
  <c r="D14" i="3"/>
  <c r="C14" i="3" s="1"/>
  <c r="G16" i="5" s="1"/>
  <c r="D13" i="3"/>
  <c r="C13" i="3" s="1"/>
  <c r="G14" i="5" s="1"/>
  <c r="E17" i="5"/>
  <c r="E15" i="5"/>
  <c r="F16" i="5"/>
  <c r="F14" i="5"/>
  <c r="D16" i="3"/>
  <c r="C16" i="3" s="1"/>
  <c r="G20" i="5" s="1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E21" i="5"/>
  <c r="F20" i="5"/>
  <c r="D22" i="3"/>
  <c r="C22" i="3" s="1"/>
  <c r="G32" i="5" s="1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E33" i="5"/>
  <c r="F32" i="5" l="1"/>
  <c r="F42" i="5"/>
  <c r="C27" i="3"/>
  <c r="G42" i="5" s="1"/>
  <c r="E43" i="5"/>
  <c r="D26" i="3"/>
  <c r="C26" i="3" s="1"/>
  <c r="G40" i="5" s="1"/>
  <c r="E41" i="5"/>
  <c r="F40" i="5"/>
  <c r="E27" i="5"/>
  <c r="D25" i="3"/>
  <c r="C25" i="3" s="1"/>
  <c r="G38" i="5" s="1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E39" i="5"/>
  <c r="F38" i="5" l="1"/>
  <c r="D20" i="3"/>
  <c r="C20" i="3" s="1"/>
  <c r="G28" i="5" s="1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E9" i="5"/>
  <c r="F28" i="5"/>
  <c r="E29" i="5"/>
  <c r="E25" i="5" l="1"/>
  <c r="D19" i="3"/>
  <c r="E19" i="5"/>
  <c r="E31" i="5"/>
  <c r="D24" i="3"/>
  <c r="C24" i="3" s="1"/>
  <c r="D23" i="3"/>
  <c r="D21" i="3"/>
  <c r="D17" i="3"/>
  <c r="E35" i="5"/>
  <c r="E37" i="5"/>
  <c r="F36" i="5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E23" i="5"/>
  <c r="G36" i="5" l="1"/>
  <c r="F34" i="5"/>
  <c r="E13" i="5"/>
  <c r="F30" i="5"/>
  <c r="E11" i="5" l="1"/>
  <c r="C21" i="3"/>
  <c r="G30" i="5" l="1"/>
  <c r="F26" i="5"/>
  <c r="C23" i="3"/>
  <c r="G34" i="5" s="1"/>
  <c r="T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N19" i="3"/>
  <c r="C19" i="3" l="1"/>
  <c r="G26" i="5" s="1"/>
  <c r="R19" i="3"/>
  <c r="S19" i="3"/>
  <c r="D10" i="3"/>
  <c r="C10" i="3" l="1"/>
  <c r="G8" i="5" l="1"/>
  <c r="F24" i="5"/>
  <c r="D18" i="3" l="1"/>
  <c r="C17" i="3"/>
  <c r="D15" i="3"/>
  <c r="C15" i="3" s="1"/>
  <c r="G18" i="5" s="1"/>
  <c r="D12" i="3"/>
  <c r="D11" i="3"/>
  <c r="F22" i="5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E34" i="8"/>
  <c r="E32" i="8"/>
  <c r="E30" i="8"/>
  <c r="E28" i="8"/>
  <c r="E26" i="8"/>
  <c r="E24" i="8"/>
  <c r="E22" i="8"/>
  <c r="E20" i="8"/>
  <c r="E18" i="8"/>
  <c r="E16" i="8"/>
  <c r="E14" i="8"/>
  <c r="D13" i="8"/>
  <c r="E12" i="8"/>
  <c r="E10" i="8"/>
  <c r="F12" i="7"/>
  <c r="E19" i="7" s="1"/>
  <c r="E10" i="7"/>
  <c r="C12" i="3" l="1"/>
  <c r="G12" i="5" s="1"/>
  <c r="G22" i="5"/>
  <c r="C18" i="3"/>
  <c r="C11" i="3"/>
  <c r="E43" i="8"/>
  <c r="G10" i="5" l="1"/>
  <c r="G24" i="5"/>
  <c r="E46" i="5" l="1"/>
  <c r="F10" i="5"/>
  <c r="F53" i="5" l="1"/>
  <c r="F14" i="8"/>
  <c r="F12" i="8"/>
  <c r="F12" i="5" l="1"/>
  <c r="F18" i="5"/>
  <c r="U23" i="3" l="1"/>
  <c r="Y23" i="3"/>
  <c r="AA23" i="3"/>
  <c r="AE23" i="3"/>
  <c r="AI23" i="3"/>
  <c r="AL23" i="3"/>
  <c r="AO23" i="3"/>
  <c r="AR23" i="3"/>
  <c r="AU23" i="3"/>
  <c r="W18" i="3"/>
  <c r="Z18" i="3"/>
  <c r="AC18" i="3"/>
  <c r="AE18" i="3"/>
  <c r="AI18" i="3"/>
  <c r="AL18" i="3"/>
  <c r="AM18" i="3"/>
  <c r="AQ18" i="3"/>
  <c r="AS18" i="3"/>
  <c r="W15" i="3"/>
  <c r="X15" i="3"/>
  <c r="AA15" i="3"/>
  <c r="AF15" i="3"/>
  <c r="AI15" i="3"/>
  <c r="AK15" i="3"/>
  <c r="AO15" i="3"/>
  <c r="AR15" i="3"/>
  <c r="AU15" i="3"/>
  <c r="V12" i="3"/>
  <c r="X12" i="3"/>
  <c r="AB12" i="3"/>
  <c r="AF12" i="3"/>
  <c r="AH12" i="3"/>
  <c r="AL12" i="3"/>
  <c r="AN12" i="3"/>
  <c r="AR12" i="3"/>
  <c r="AT12" i="3"/>
  <c r="W11" i="3"/>
  <c r="Y11" i="3"/>
  <c r="AA11" i="3"/>
  <c r="AD11" i="3"/>
  <c r="AI11" i="3"/>
  <c r="AL11" i="3"/>
  <c r="AO11" i="3"/>
  <c r="AR11" i="3"/>
  <c r="AT11" i="3"/>
  <c r="N23" i="3"/>
  <c r="F8" i="5"/>
  <c r="N10" i="3" s="1"/>
  <c r="V10" i="3"/>
  <c r="X10" i="3"/>
  <c r="AB10" i="3"/>
  <c r="AF10" i="3"/>
  <c r="AI10" i="3"/>
  <c r="AK10" i="3"/>
  <c r="AM10" i="3"/>
  <c r="AQ10" i="3"/>
  <c r="AS10" i="3"/>
  <c r="T10" i="3"/>
  <c r="AB23" i="3"/>
  <c r="U18" i="3"/>
  <c r="AM15" i="3"/>
  <c r="U15" i="3"/>
  <c r="Y12" i="3"/>
  <c r="AM11" i="3"/>
  <c r="AC11" i="3"/>
  <c r="U11" i="3"/>
  <c r="S18" i="3" l="1"/>
  <c r="R23" i="3"/>
  <c r="S12" i="3"/>
  <c r="T15" i="3"/>
  <c r="AN18" i="3"/>
  <c r="AJ12" i="3"/>
  <c r="AK12" i="3"/>
  <c r="AP23" i="3"/>
  <c r="AO18" i="3"/>
  <c r="AE11" i="3"/>
  <c r="AC12" i="3"/>
  <c r="AE15" i="3"/>
  <c r="V11" i="3"/>
  <c r="T12" i="3"/>
  <c r="V18" i="3"/>
  <c r="AJ23" i="3"/>
  <c r="AQ11" i="3"/>
  <c r="AE12" i="3"/>
  <c r="AM12" i="3"/>
  <c r="X23" i="3"/>
  <c r="AD12" i="3"/>
  <c r="AA12" i="3"/>
  <c r="AO12" i="3"/>
  <c r="R18" i="3"/>
  <c r="AH18" i="3"/>
  <c r="AR10" i="3"/>
  <c r="V23" i="3"/>
  <c r="AF23" i="3"/>
  <c r="T18" i="3"/>
  <c r="AD18" i="3"/>
  <c r="AF18" i="3"/>
  <c r="AR18" i="3"/>
  <c r="V15" i="3"/>
  <c r="AF11" i="3"/>
  <c r="S15" i="3"/>
  <c r="AD15" i="3"/>
  <c r="W23" i="3"/>
  <c r="AP11" i="3"/>
  <c r="W12" i="3"/>
  <c r="AI12" i="3"/>
  <c r="AU12" i="3"/>
  <c r="AL15" i="3"/>
  <c r="AJ18" i="3"/>
  <c r="AM23" i="3"/>
  <c r="Y10" i="3"/>
  <c r="Z10" i="3"/>
  <c r="S23" i="3"/>
  <c r="AB11" i="3"/>
  <c r="T23" i="3"/>
  <c r="Y15" i="3"/>
  <c r="X18" i="3"/>
  <c r="AC23" i="3"/>
  <c r="AN23" i="3"/>
  <c r="U12" i="3"/>
  <c r="AS12" i="3"/>
  <c r="Z15" i="3"/>
  <c r="AJ15" i="3"/>
  <c r="Y18" i="3"/>
  <c r="AL10" i="3"/>
  <c r="AN11" i="3"/>
  <c r="AN15" i="3"/>
  <c r="AD23" i="3"/>
  <c r="AQ23" i="3"/>
  <c r="AT10" i="3"/>
  <c r="AU10" i="3"/>
  <c r="W10" i="3"/>
  <c r="AK23" i="3"/>
  <c r="U10" i="3"/>
  <c r="AT18" i="3"/>
  <c r="Z23" i="3"/>
  <c r="AS11" i="3"/>
  <c r="AG18" i="3"/>
  <c r="AU18" i="3"/>
  <c r="R11" i="3"/>
  <c r="AU11" i="3"/>
  <c r="S11" i="3"/>
  <c r="AG11" i="3"/>
  <c r="AP12" i="3"/>
  <c r="AP15" i="3"/>
  <c r="AG10" i="3"/>
  <c r="T11" i="3"/>
  <c r="AH11" i="3"/>
  <c r="AQ12" i="3"/>
  <c r="AQ15" i="3"/>
  <c r="N11" i="3"/>
  <c r="AH10" i="3"/>
  <c r="AG15" i="3"/>
  <c r="AS15" i="3"/>
  <c r="AG23" i="3"/>
  <c r="R12" i="3"/>
  <c r="AH15" i="3"/>
  <c r="AT15" i="3"/>
  <c r="AP18" i="3"/>
  <c r="AH23" i="3"/>
  <c r="AS23" i="3"/>
  <c r="AT23" i="3"/>
  <c r="AK18" i="3"/>
  <c r="AA18" i="3"/>
  <c r="AB18" i="3"/>
  <c r="N18" i="3"/>
  <c r="AC15" i="3"/>
  <c r="N15" i="3"/>
  <c r="AB15" i="3"/>
  <c r="Z12" i="3"/>
  <c r="N12" i="3"/>
  <c r="AG12" i="3"/>
  <c r="X11" i="3"/>
  <c r="AJ11" i="3"/>
  <c r="AK11" i="3"/>
  <c r="Z11" i="3"/>
  <c r="R15" i="3"/>
  <c r="AC10" i="3"/>
  <c r="AD10" i="3"/>
  <c r="AE10" i="3"/>
  <c r="AN10" i="3"/>
  <c r="AO10" i="3"/>
  <c r="AP10" i="3"/>
  <c r="AJ10" i="3"/>
  <c r="AA10" i="3"/>
  <c r="R10" i="3"/>
  <c r="S10" i="3"/>
  <c r="D30" i="3" l="1"/>
  <c r="D31" i="3"/>
  <c r="D32" i="3"/>
  <c r="D29" i="3" l="1"/>
  <c r="D41" i="3"/>
  <c r="D35" i="3"/>
  <c r="D40" i="3"/>
  <c r="D36" i="3"/>
  <c r="D42" i="3" l="1"/>
  <c r="D44" i="3" s="1"/>
  <c r="D37" i="3"/>
  <c r="D39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<sst xmlns="http://schemas.openxmlformats.org/spreadsheetml/2006/main" count="263" uniqueCount="148">
  <si>
    <t>PO1</t>
  </si>
  <si>
    <t>PO2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</si>
  <si>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</si>
  <si>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</si>
  <si>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</si>
  <si>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</si>
  <si>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</si>
  <si>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</si>
  <si>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</si>
  <si>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</si>
  <si>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</si>
  <si>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</si>
  <si>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</si>
  <si>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</si>
  <si>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</si>
  <si>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</si>
  <si>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>%</t>
  </si>
  <si>
    <t xml:space="preserve">PO: </t>
  </si>
  <si>
    <t xml:space="preserve">Date: </t>
  </si>
  <si>
    <t>จำนวนรถที่ต้องใช้</t>
  </si>
  <si>
    <t>คัน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</si>
  <si>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</si>
  <si>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</si>
  <si>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</si>
  <si>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</si>
  <si>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</si>
  <si>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</si>
  <si>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</si>
  <si>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PO6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</si>
  <si>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</si>
  <si>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</si>
  <si>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</si>
  <si>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</si>
  <si>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</si>
  <si>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</si>
  <si>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</si>
  <si>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</si>
  <si>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</si>
  <si>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</si>
  <si>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</si>
  <si>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</si>
  <si>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</si>
  <si>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</si>
  <si>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</si>
  <si>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</si>
  <si>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</si>
  <si>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</si>
  <si>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</si>
  <si>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</si>
  <si>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</si>
  <si>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</si>
  <si>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</si>
  <si>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</si>
  <si>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</si>
  <si>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</si>
  <si>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</si>
  <si>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</si>
  <si>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</si>
  <si>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</si>
  <si>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</si>
  <si>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</si>
  <si>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</si>
  <si>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</si>
  <si>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</si>
  <si>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องุ่นไชน์มัสแคท 300 กรัม x 15 P</t>
  </si>
  <si>
    <t>แอปเปิ้ลแดงวอชิงตันลูกเดี่ยว x 45 P</t>
  </si>
  <si>
    <t>องุ่นเคียวโฮ 300 กรัม x 15 P</t>
  </si>
  <si>
    <t>ลูกไหนจิ๋ว 200 กรัม x27 P</t>
  </si>
  <si>
    <t>องุ่นแดงไร้เมล็ด 300 g. x 20 p</t>
  </si>
  <si>
    <t>เบอร์รี่ดูโอ้ 160 กรัม x 32 P</t>
  </si>
  <si>
    <t>อโวคาโดแฮส 150 กรัม x 45 P</t>
  </si>
  <si>
    <r>
      <rPr>
        <b/>
        <sz val="18"/>
        <color theme="1"/>
        <rFont val="Angsana New"/>
        <family val="1"/>
      </rPr>
      <t>Global Trade and Distribution Co., Ltd.</t>
    </r>
    <r>
      <rPr>
        <b/>
        <sz val="16"/>
        <color theme="1"/>
        <rFont val="Angsana New"/>
        <family val="1"/>
      </rPr>
      <t xml:space="preserve">
บริษัท โกลบอล เทรด แอนด์ ดิสทริบิวชั่น จำกัด</t>
    </r>
  </si>
  <si>
    <t>ยอดรวม</t>
  </si>
  <si>
    <t>ตะกร้า</t>
  </si>
  <si>
    <t>องุ่นสวิทแซฟฟร์ 300 กรัม x15 P</t>
  </si>
  <si>
    <t>แพค</t>
  </si>
  <si>
    <t>ส้มแพ็ก 4 ผล x 14 P   (450 กรัม)</t>
  </si>
  <si>
    <t xml:space="preserve">หมายเหตุ
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</si>
  <si>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</si>
  <si>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</si>
  <si>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</si>
  <si>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</si>
  <si>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</si>
  <si>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ลายเซ็น คนขึ้นของ</t>
  </si>
  <si>
    <t>เซเว่น MC</t>
  </si>
  <si>
    <t>01.00-06.00 น</t>
  </si>
  <si>
    <t>พุทราจีน 200 กรัม x 27</t>
  </si>
  <si>
    <t>มหาชัย</t>
  </si>
  <si>
    <t>รวมยอดตะกร้า</t>
  </si>
  <si>
    <t xml:space="preserve">ผู้ส่ง : </t>
  </si>
  <si>
    <t>=</t>
  </si>
  <si>
    <t xml:space="preserve">*เบิกตะกร้ากลับด้วยนะคะ </t>
  </si>
  <si>
    <t>ใบ</t>
  </si>
  <si>
    <t>แอปเปิ้ลเจ้าหญิง 200 กรัม x27 P</t>
  </si>
  <si>
    <t>วันที่ 08/10/68  ส่งวันที่ PO.09/10/68</t>
  </si>
  <si>
    <t>125+13 P</t>
  </si>
  <si>
    <t>4 ล้อ 41 พี่เอ๋ คันที่ 2</t>
  </si>
  <si>
    <t>17+22 P</t>
  </si>
  <si>
    <t>8+19 P</t>
  </si>
  <si>
    <t>8+12 P</t>
  </si>
  <si>
    <t>5+1 P</t>
  </si>
  <si>
    <t>18+2 P</t>
  </si>
  <si>
    <t>24 P</t>
  </si>
  <si>
    <t>14+12 P</t>
  </si>
  <si>
    <t>2+10 P</t>
  </si>
  <si>
    <t>6+10 P</t>
  </si>
  <si>
    <t>11+19 P</t>
  </si>
  <si>
    <t>3+25 P</t>
  </si>
  <si>
    <t>1+9 P</t>
  </si>
  <si>
    <t>4 ล้อ 47 พี่เอก (พิเศษ) คันที่ 1</t>
  </si>
  <si>
    <t xml:space="preserve">เซเว่น - มหาชัย </t>
  </si>
  <si>
    <t>ตี 01.00 น.</t>
  </si>
  <si>
    <t>ของคืน</t>
  </si>
  <si>
    <t>สาลี่ทอง แพ็ก 2 ผล (400g.) x 15 P</t>
  </si>
  <si>
    <t>องุ่นดำไร้เมล็ด 300 กรัม x20P</t>
  </si>
  <si>
    <t>องุ่นดำไร้เมล็ด 150 กรัม x36P</t>
  </si>
  <si>
    <t xml:space="preserve">BlackGrapesSeedless150g.( 8859388000025 )  </t>
  </si>
  <si>
    <t xml:space="preserve">Black Grapes Seedless  ( 8859388002562 )          </t>
  </si>
  <si>
    <t xml:space="preserve">Washington   ( 8859388000759 )                    </t>
  </si>
  <si>
    <t xml:space="preserve">Blue  ( 2003009720007 )                           </t>
  </si>
  <si>
    <t xml:space="preserve">Red Seedless ( 8859388007000 )             </t>
  </si>
  <si>
    <t xml:space="preserve">Red Seed  ( 8859388000100 )                      </t>
  </si>
  <si>
    <t xml:space="preserve">Straw250 g. ( 2003009710008 )             </t>
  </si>
  <si>
    <t xml:space="preserve">Kyoho Grape 300g ( 8859388000063 )    </t>
  </si>
  <si>
    <t xml:space="preserve">Red Seedless 300 g.( 8859388001084 )        </t>
  </si>
  <si>
    <t xml:space="preserve">Berry Duo 160g.   ( 8859388010239 )                    </t>
  </si>
  <si>
    <t xml:space="preserve">Pear 400g ( 8859388010284 )    </t>
  </si>
  <si>
    <t>เชอร์รี่สดนำเข้า150 กรัม(อเมริกา)x36P</t>
  </si>
  <si>
    <t xml:space="preserve">Cherry 150 g ( 8859388008885 )    </t>
  </si>
  <si>
    <t>องุ่นไซน์มัสแคท 300 กรัม x 15 P</t>
  </si>
  <si>
    <t xml:space="preserve">Shine muscat 300 g ( 885938000018 )    </t>
  </si>
  <si>
    <t>องุ่นไซน์มัสแคท 300 กรัมx 15P</t>
  </si>
  <si>
    <t>ลูกไหนจิ๋ว 200 g. x 27 p</t>
  </si>
  <si>
    <t xml:space="preserve">Plum 200  g. ( 8859388001091 )        </t>
  </si>
  <si>
    <t>องุ่นสวีทแซฟไฟร์ 300 กรัม x 15 P</t>
  </si>
  <si>
    <t xml:space="preserve">Sweet Sapphire 300gx 15 P  ( '8859388000223 )                    </t>
  </si>
  <si>
    <t>พุทราจีน 200 กรัม x 27 P</t>
  </si>
  <si>
    <t xml:space="preserve">Jujube 200g.(8859388000087 )             </t>
  </si>
  <si>
    <t>ส้มแพ็ก 4 ผล(450 กรัม) x14 P</t>
  </si>
  <si>
    <t>Mandarin orange P.4 (8859388000445)</t>
  </si>
  <si>
    <t>แอปเปิ้ลแพ็ก 4 ผล(400 กรัม) x14 P</t>
  </si>
  <si>
    <t>Apple P.4 (8859388000568 )</t>
  </si>
  <si>
    <t xml:space="preserve">สตรอเบอร์รี่ 250 กรัม x 27 P </t>
  </si>
  <si>
    <t xml:space="preserve">      วันที่ 18/08/69  ส่งวันที่ PO. 19/08/69</t>
  </si>
  <si>
    <t>สาลี่ทอง แพ็ก 4 ผล (800g.) x 8 P</t>
  </si>
  <si>
    <t xml:space="preserve">Pear 800g (8859388010277 )    </t>
  </si>
  <si>
    <t>สาลี่ทอง แพ็ก 2 ผล (400g.) x 8 P</t>
  </si>
  <si>
    <t>ผู้ส่ง : 7-11 มหาชัย 6 ล้อ 83-8096 พี่ปาล์ม+คาย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</si>
</sst>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scheme val="minor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b/>
      <sz val="18"/>
      <color theme="1"/>
      <name val="Angsana New"/>
      <family val="1"/>
    </font>
    <font>
      <b/>
      <sz val="36"/>
      <color theme="1"/>
      <name val="Angsana New"/>
      <family val="1"/>
    </font>
    <font>
      <b/>
      <sz val="20"/>
      <color rgb="FFFF0000"/>
      <name val="Angsana New"/>
      <family val="1"/>
    </font>
    <font>
      <sz val="20"/>
      <color theme="1"/>
      <name val="Angsana New"/>
      <family val="1"/>
    </font>
    <font>
      <sz val="11"/>
      <color theme="1"/>
      <name val="Tahoma"/>
      <family val="2"/>
      <charset val="222"/>
      <scheme val="minor"/>
    </font>
    <font>
      <sz val="10"/>
      <name val="Arial"/>
      <family val="2"/>
      <charset val="222"/>
    </font>
    <font>
      <b/>
      <sz val="14"/>
      <color theme="1"/>
      <name val="Arial Narrow"/>
      <family val="2"/>
    </font>
    <font>
      <b/>
      <sz val="14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ngsana New"/>
      <family val="1"/>
    </font>
    <font>
      <b/>
      <sz val="11"/>
      <color theme="1"/>
      <name val="Arial Narrow"/>
      <family val="2"/>
    </font>
    <font>
      <b/>
      <sz val="22"/>
      <color rgb="FFFF0000"/>
      <name val="Arial Narrow"/>
      <family val="2"/>
    </font>
    <font>
      <b/>
      <sz val="18"/>
      <color theme="1"/>
      <name val="Arial Narrow"/>
      <family val="2"/>
    </font>
    <font>
      <sz val="18"/>
      <color theme="1"/>
      <name val="Arial Narrow"/>
      <family val="2"/>
      <charset val="222"/>
    </font>
    <font>
      <b/>
      <sz val="18"/>
      <color theme="1"/>
      <name val="Arial Narrow"/>
      <family val="2"/>
      <charset val="222"/>
    </font>
    <font>
      <sz val="18"/>
      <color theme="1"/>
      <name val="Angsana New"/>
      <family val="1"/>
      <charset val="222"/>
    </font>
    <font>
      <b/>
      <sz val="24"/>
      <color theme="1"/>
      <name val="Arial Narrow"/>
      <family val="2"/>
      <charset val="222"/>
    </font>
    <font>
      <b/>
      <sz val="48"/>
      <color theme="3"/>
      <name val="Arial Narrow"/>
      <family val="2"/>
    </font>
    <font>
      <b/>
      <sz val="22"/>
      <color theme="1"/>
      <name val="Arial Narrow"/>
      <family val="2"/>
    </font>
    <font>
      <b/>
      <sz val="22"/>
      <name val="Arial Narrow"/>
      <family val="2"/>
    </font>
    <font>
      <b/>
      <sz val="18"/>
      <color rgb="FF000000"/>
      <name val="Arial Narrow"/>
      <family val="2"/>
    </font>
    <font>
      <b/>
      <sz val="22"/>
      <color rgb="FF7030A0"/>
      <name val="Arial Narrow"/>
      <family val="2"/>
    </font>
    <font>
      <b/>
      <sz val="22"/>
      <color rgb="FF00B050"/>
      <name val="Arial Narrow"/>
      <family val="2"/>
    </font>
    <font>
      <b/>
      <sz val="60"/>
      <color theme="1"/>
      <name val="Angsana New"/>
      <family val="1"/>
    </font>
    <font>
      <b/>
      <sz val="30"/>
      <color theme="1"/>
      <name val="Angsana New"/>
      <family val="1"/>
    </font>
    <font>
      <sz val="14"/>
      <color theme="1"/>
      <name val="Arial Narrow"/>
      <family val="2"/>
    </font>
    <font>
      <b/>
      <sz val="28"/>
      <color theme="1"/>
      <name val="Angsana New"/>
      <family val="1"/>
    </font>
    <font>
      <b/>
      <sz val="36"/>
      <name val="Angsana New"/>
      <family val="1"/>
    </font>
    <font>
      <b/>
      <sz val="36"/>
      <color rgb="FFFF0000"/>
      <name val="Angsana New"/>
      <family val="1"/>
    </font>
    <font>
      <b/>
      <sz val="19"/>
      <color theme="1"/>
      <name val="Arial Narrow"/>
      <family val="2"/>
    </font>
    <font>
      <b/>
      <sz val="30"/>
      <color theme="1"/>
      <name val="Arial Narrow"/>
      <family val="2"/>
      <charset val="222"/>
    </font>
    <font>
      <b/>
      <sz val="15"/>
      <color theme="1"/>
      <name val="Arial Narrow"/>
      <family val="2"/>
    </font>
    <font>
      <b/>
      <sz val="17"/>
      <color theme="3"/>
      <name val="Arial Narrow"/>
      <family val="2"/>
    </font>
    <font>
      <b/>
      <sz val="22"/>
      <color theme="4" tint="-0.499984740745262"/>
      <name val="Arial Narrow"/>
      <family val="2"/>
    </font>
    <font>
      <b/>
      <sz val="22"/>
      <color rgb="FF000000"/>
      <name val="Arial Narrow"/>
      <family val="2"/>
    </font>
    <font>
      <sz val="32"/>
      <color theme="1"/>
      <name val="CordiaUPC"/>
      <family val="2"/>
    </font>
    <font>
      <b/>
      <sz val="32"/>
      <color theme="1"/>
      <name val="CordiaUPC"/>
      <family val="2"/>
    </font>
    <font>
      <b/>
      <sz val="40"/>
      <color theme="1"/>
      <name val="CordiaUPC"/>
      <family val="2"/>
    </font>
    <font>
      <b/>
      <sz val="30"/>
      <color theme="1"/>
      <name val="CordiaUPC"/>
      <family val="2"/>
    </font>
    <font>
      <sz val="30"/>
      <color theme="1"/>
      <name val="CordiaUPC"/>
      <family val="2"/>
    </font>
    <font>
      <sz val="45"/>
      <color theme="1"/>
      <name val="CordiaUPC"/>
      <family val="2"/>
    </font>
    <font>
      <sz val="50"/>
      <color theme="1"/>
      <name val="CordiaUPC"/>
      <family val="2"/>
    </font>
    <font>
      <sz val="32"/>
      <color theme="1"/>
      <name val="Arial Narrow"/>
      <family val="2"/>
    </font>
    <font>
      <b/>
      <sz val="40"/>
      <color theme="1"/>
      <name val="Arial Narrow"/>
      <family val="2"/>
    </font>
    <font>
      <b/>
      <sz val="45"/>
      <color theme="1"/>
      <name val="Arial Narrow"/>
      <family val="2"/>
    </font>
    <font>
      <b/>
      <sz val="45"/>
      <name val="Arial Narrow"/>
      <family val="2"/>
    </font>
    <font>
      <b/>
      <sz val="70"/>
      <color rgb="FF0070C0"/>
      <name val="Arial Narrow"/>
      <family val="2"/>
    </font>
    <font>
      <b/>
      <u/>
      <sz val="60"/>
      <color theme="1"/>
      <name val="Arial Narrow"/>
      <family val="2"/>
    </font>
    <font>
      <b/>
      <sz val="40"/>
      <name val="Arial Narrow"/>
      <family val="2"/>
    </font>
    <font>
      <sz val="45"/>
      <color theme="1"/>
      <name val="Arial Narrow"/>
      <family val="2"/>
    </font>
    <font>
      <b/>
      <sz val="60"/>
      <color theme="1"/>
      <name val="Arial Narrow"/>
      <family val="2"/>
    </font>
    <font>
      <b/>
      <sz val="40"/>
      <color theme="3"/>
      <name val="Arial Narrow"/>
      <family val="2"/>
    </font>
    <font>
      <b/>
      <sz val="50"/>
      <color theme="3"/>
      <name val="Arial Narrow"/>
      <family val="2"/>
    </font>
    <font>
      <b/>
      <sz val="65"/>
      <name val="Arial Narrow"/>
      <family val="2"/>
      <charset val="222"/>
    </font>
    <font>
      <b/>
      <u/>
      <sz val="65"/>
      <color rgb="FFFF0000"/>
      <name val="Arial Narrow"/>
      <family val="2"/>
      <charset val="222"/>
    </font>
    <font>
      <b/>
      <sz val="65"/>
      <color theme="1"/>
      <name val="CordiaUPC"/>
      <family val="2"/>
      <charset val="222"/>
    </font>
    <font>
      <b/>
      <sz val="65"/>
      <color rgb="FFFF0000"/>
      <name val="CordiaUPC"/>
      <family val="2"/>
      <charset val="222"/>
    </font>
    <font>
      <b/>
      <sz val="60"/>
      <color theme="1"/>
      <name val="CordiaUPC"/>
      <family val="2"/>
    </font>
    <font>
      <sz val="15"/>
      <color theme="1"/>
      <name val="CordiaUPC"/>
      <family val="2"/>
    </font>
    <font>
      <sz val="15"/>
      <name val="CordiaUPC"/>
      <family val="2"/>
    </font>
    <font>
      <sz val="15"/>
      <color rgb="FF000000"/>
      <name val="CordiaUPC"/>
      <family val="2"/>
    </font>
    <font>
      <b/>
      <sz val="41"/>
      <color theme="1"/>
      <name val="Arial Narrow"/>
      <family val="2"/>
    </font>
    <font>
      <b/>
      <sz val="41"/>
      <color rgb="FF000000"/>
      <name val="Arial Narrow"/>
      <family val="2"/>
    </font>
    <font>
      <sz val="40"/>
      <color theme="1"/>
      <name val="Arial Narrow"/>
      <family val="2"/>
    </font>
    <font>
      <sz val="40"/>
      <color theme="1"/>
      <name val="CordiaUPC"/>
      <family val="2"/>
    </font>
    <font>
      <b/>
      <sz val="50"/>
      <color rgb="FF00B050"/>
      <name val="Arial Narrow"/>
      <family val="2"/>
    </font>
    <font>
      <b/>
      <sz val="41"/>
      <name val="Arial Narrow"/>
      <family val="2"/>
    </font>
    <font>
      <b/>
      <sz val="41"/>
      <color rgb="FF00B050"/>
      <name val="Arial Narrow"/>
      <family val="2"/>
    </font>
    <font>
      <b/>
      <sz val="15"/>
      <color theme="1"/>
      <name val="CordiaUPC"/>
      <family val="2"/>
    </font>
    <font>
      <b/>
      <sz val="41"/>
      <color rgb="FF0000FF"/>
      <name val="Arial Narrow"/>
      <family val="2"/>
    </font>
    <font>
      <b/>
      <sz val="41"/>
      <color rgb="FF7030A0"/>
      <name val="Arial Narrow"/>
      <family val="2"/>
    </font>
    <font>
      <b/>
      <sz val="45"/>
      <color theme="1"/>
      <name val="CordiaUP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6" fillId="0" borderId="0"/>
    <xf numFmtId="0" fontId="17" fillId="0" borderId="0"/>
    <xf numFmtId="0" fontId="2" fillId="0" borderId="0"/>
    <xf numFmtId="0" fontId="1" fillId="0" borderId="0"/>
    <xf numFmtId="0" fontId="1" fillId="0" borderId="0"/>
  </cellStyleXfs>
  <cellXfs count="254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top"/>
    </xf>
    <xf numFmtId="0" fontId="4" fillId="0" borderId="0" xfId="0" applyFont="1" applyAlignment="1">
      <alignment vertical="top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right" vertical="center"/>
    </xf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2" fillId="0" borderId="28" xfId="1" applyFont="1" applyBorder="1" applyAlignment="1">
      <alignment horizontal="center" vertical="center"/>
    </xf>
    <xf numFmtId="0" fontId="19" fillId="4" borderId="17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/>
    </xf>
    <xf numFmtId="0" fontId="37" fillId="0" borderId="22" xfId="0" applyFont="1" applyBorder="1" applyAlignment="1">
      <alignment horizontal="left" vertical="center"/>
    </xf>
    <xf numFmtId="0" fontId="37" fillId="0" borderId="22" xfId="0" applyFont="1" applyBorder="1" applyAlignment="1">
      <alignment horizontal="center" vertical="center"/>
    </xf>
    <xf numFmtId="0" fontId="37" fillId="0" borderId="26" xfId="0" applyFont="1" applyBorder="1" applyAlignment="1">
      <alignment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9" fillId="4" borderId="26" xfId="1" applyFont="1" applyFill="1" applyBorder="1" applyAlignment="1">
      <alignment horizontal="center" vertical="center"/>
    </xf>
    <xf numFmtId="0" fontId="39" fillId="4" borderId="22" xfId="1" applyFont="1" applyFill="1" applyBorder="1" applyAlignment="1">
      <alignment horizontal="center" vertical="center"/>
    </xf>
    <xf numFmtId="0" fontId="40" fillId="4" borderId="22" xfId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0" fontId="36" fillId="0" borderId="16" xfId="0" applyFont="1" applyBorder="1" applyAlignment="1">
      <alignment horizontal="left"/>
    </xf>
    <xf numFmtId="0" fontId="37" fillId="0" borderId="26" xfId="0" applyFont="1" applyBorder="1" applyAlignment="1">
      <alignment horizontal="center" vertical="center"/>
    </xf>
    <xf numFmtId="0" fontId="37" fillId="0" borderId="22" xfId="0" applyFont="1" applyBorder="1" applyAlignment="1">
      <alignment vertical="center"/>
    </xf>
    <xf numFmtId="0" fontId="45" fillId="3" borderId="23" xfId="1" applyFont="1" applyFill="1" applyBorder="1" applyAlignment="1">
      <alignment horizontal="center" vertical="center"/>
    </xf>
    <xf numFmtId="0" fontId="31" fillId="0" borderId="24" xfId="1" quotePrefix="1" applyFont="1" applyBorder="1" applyAlignment="1">
      <alignment horizontal="center" vertical="center"/>
    </xf>
    <xf numFmtId="0" fontId="31" fillId="2" borderId="27" xfId="1" quotePrefix="1" applyFont="1" applyFill="1" applyBorder="1" applyAlignment="1">
      <alignment horizontal="center" vertical="center"/>
    </xf>
    <xf numFmtId="0" fontId="46" fillId="3" borderId="30" xfId="1" applyFont="1" applyFill="1" applyBorder="1" applyAlignment="1">
      <alignment horizontal="center" vertical="center"/>
    </xf>
    <xf numFmtId="0" fontId="31" fillId="2" borderId="24" xfId="1" quotePrefix="1" applyFont="1" applyFill="1" applyBorder="1" applyAlignment="1">
      <alignment horizontal="center" vertical="center"/>
    </xf>
    <xf numFmtId="0" fontId="31" fillId="2" borderId="29" xfId="1" quotePrefix="1" applyFont="1" applyFill="1" applyBorder="1" applyAlignment="1">
      <alignment horizontal="center" vertical="center"/>
    </xf>
    <xf numFmtId="0" fontId="45" fillId="3" borderId="30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8" fillId="0" borderId="0" xfId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50" fillId="0" borderId="0" xfId="1" applyFont="1" applyAlignment="1">
      <alignment horizontal="center" vertical="center"/>
    </xf>
    <xf numFmtId="0" fontId="49" fillId="0" borderId="22" xfId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60" fillId="5" borderId="12" xfId="1" applyFont="1" applyFill="1" applyBorder="1" applyAlignment="1">
      <alignment horizontal="center" wrapText="1"/>
    </xf>
    <xf numFmtId="0" fontId="61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5" fillId="5" borderId="26" xfId="1" applyFont="1" applyFill="1" applyBorder="1" applyAlignment="1">
      <alignment horizontal="center" vertical="center"/>
    </xf>
    <xf numFmtId="0" fontId="65" fillId="5" borderId="22" xfId="1" applyFont="1" applyFill="1" applyBorder="1" applyAlignment="1">
      <alignment horizontal="center" vertical="center"/>
    </xf>
    <xf numFmtId="0" fontId="66" fillId="5" borderId="22" xfId="1" applyFont="1" applyFill="1" applyBorder="1" applyAlignment="1">
      <alignment horizontal="center" vertical="center"/>
    </xf>
    <xf numFmtId="0" fontId="67" fillId="0" borderId="0" xfId="1" applyFont="1" applyAlignment="1">
      <alignment horizontal="center" vertical="center"/>
    </xf>
    <xf numFmtId="0" fontId="67" fillId="0" borderId="31" xfId="1" applyFont="1" applyBorder="1" applyAlignment="1">
      <alignment horizontal="center" vertical="center"/>
    </xf>
    <xf numFmtId="0" fontId="68" fillId="0" borderId="0" xfId="1" applyFont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69" fillId="0" borderId="12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55" fillId="0" borderId="22" xfId="0" applyFont="1" applyBorder="1" applyAlignment="1">
      <alignment horizontal="center" vertical="center"/>
    </xf>
    <xf numFmtId="0" fontId="55" fillId="0" borderId="0" xfId="0" applyFont="1" applyAlignment="1">
      <alignment horizontal="right" vertical="center"/>
    </xf>
    <xf numFmtId="0" fontId="55" fillId="0" borderId="16" xfId="0" applyFont="1" applyBorder="1" applyAlignment="1">
      <alignment horizontal="center" vertical="center"/>
    </xf>
    <xf numFmtId="0" fontId="49" fillId="0" borderId="30" xfId="0" applyFont="1" applyBorder="1" applyAlignment="1">
      <alignment horizontal="left" vertical="center"/>
    </xf>
    <xf numFmtId="0" fontId="76" fillId="0" borderId="30" xfId="0" applyFont="1" applyBorder="1" applyAlignment="1">
      <alignment horizontal="center" vertical="center"/>
    </xf>
    <xf numFmtId="0" fontId="49" fillId="0" borderId="39" xfId="0" applyFont="1" applyBorder="1" applyAlignment="1">
      <alignment horizontal="left" vertical="center"/>
    </xf>
    <xf numFmtId="0" fontId="76" fillId="0" borderId="39" xfId="0" applyFont="1" applyBorder="1" applyAlignment="1">
      <alignment horizontal="center" vertical="center"/>
    </xf>
    <xf numFmtId="0" fontId="49" fillId="0" borderId="29" xfId="0" applyFont="1" applyBorder="1" applyAlignment="1">
      <alignment vertical="center"/>
    </xf>
    <xf numFmtId="0" fontId="76" fillId="0" borderId="2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3" fillId="0" borderId="30" xfId="1" applyFont="1" applyBorder="1" applyAlignment="1">
      <alignment vertical="center"/>
    </xf>
    <xf numFmtId="0" fontId="73" fillId="0" borderId="12" xfId="1" applyFont="1" applyBorder="1" applyAlignment="1">
      <alignment vertical="center"/>
    </xf>
    <xf numFmtId="0" fontId="78" fillId="0" borderId="12" xfId="1" applyFont="1" applyBorder="1" applyAlignment="1">
      <alignment horizontal="left" vertical="center"/>
    </xf>
    <xf numFmtId="0" fontId="74" fillId="0" borderId="12" xfId="1" applyFont="1" applyBorder="1" applyAlignment="1">
      <alignment vertical="center"/>
    </xf>
    <xf numFmtId="0" fontId="79" fillId="0" borderId="13" xfId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0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0" fillId="0" borderId="0" xfId="1" applyFont="1" applyBorder="1" applyAlignment="1">
      <alignment vertical="center"/>
    </xf>
    <xf numFmtId="0" fontId="80" fillId="0" borderId="0" xfId="1" applyFont="1" applyBorder="1" applyAlignment="1">
      <alignment vertical="center"/>
    </xf>
    <xf numFmtId="0" fontId="71" fillId="0" borderId="0" xfId="1" applyFont="1" applyBorder="1" applyAlignment="1">
      <alignment horizontal="left" vertical="center"/>
    </xf>
    <xf numFmtId="0" fontId="72" fillId="0" borderId="0" xfId="1" applyFont="1" applyBorder="1" applyAlignment="1">
      <alignment vertical="center"/>
    </xf>
    <xf numFmtId="0" fontId="73" fillId="0" borderId="12" xfId="4" applyFont="1" applyBorder="1" applyAlignment="1">
      <alignment horizontal="center" vertical="center"/>
    </xf>
    <xf numFmtId="0" fontId="73" fillId="0" borderId="13" xfId="4" applyFont="1" applyBorder="1" applyAlignment="1">
      <alignment horizontal="center" vertical="center"/>
    </xf>
    <xf numFmtId="0" fontId="73" fillId="0" borderId="12" xfId="1" applyFont="1" applyBorder="1" applyAlignment="1">
      <alignment horizontal="center" vertical="center"/>
    </xf>
    <xf numFmtId="0" fontId="73" fillId="0" borderId="13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3" fillId="0" borderId="18" xfId="1" applyFont="1" applyBorder="1" applyAlignment="1">
      <alignment horizontal="center" vertical="center"/>
    </xf>
    <xf numFmtId="0" fontId="73" fillId="0" borderId="15" xfId="1" applyFont="1" applyBorder="1" applyAlignment="1">
      <alignment horizontal="center" vertical="center"/>
    </xf>
    <xf numFmtId="0" fontId="81" fillId="0" borderId="30" xfId="1" applyFont="1" applyBorder="1" applyAlignment="1">
      <alignment horizontal="center" vertical="center"/>
    </xf>
    <xf numFmtId="0" fontId="78" fillId="0" borderId="29" xfId="1" quotePrefix="1" applyFont="1" applyBorder="1" applyAlignment="1">
      <alignment horizontal="center" vertical="center"/>
    </xf>
    <xf numFmtId="3" fontId="81" fillId="0" borderId="30" xfId="1" applyNumberFormat="1" applyFont="1" applyBorder="1" applyAlignment="1">
      <alignment horizontal="center" vertical="center"/>
    </xf>
    <xf numFmtId="0" fontId="79" fillId="0" borderId="14" xfId="1" applyFont="1" applyBorder="1" applyAlignment="1">
      <alignment horizontal="left" vertical="center"/>
    </xf>
    <xf numFmtId="0" fontId="81" fillId="0" borderId="30" xfId="1" quotePrefix="1" applyFont="1" applyFill="1" applyBorder="1" applyAlignment="1">
      <alignment horizontal="center" vertical="center"/>
    </xf>
    <xf numFmtId="0" fontId="78" fillId="0" borderId="13" xfId="1" quotePrefix="1" applyFont="1" applyBorder="1" applyAlignment="1">
      <alignment horizontal="center" vertical="center"/>
    </xf>
    <xf numFmtId="0" fontId="81" fillId="0" borderId="30" xfId="1" quotePrefix="1" applyFont="1" applyBorder="1" applyAlignment="1">
      <alignment horizontal="center" vertical="center"/>
    </xf>
    <xf numFmtId="0" fontId="73" fillId="0" borderId="30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7" fillId="0" borderId="12" xfId="1" applyFont="1" applyBorder="1" applyAlignment="1">
      <alignment horizontal="center" vertical="center"/>
    </xf>
    <xf numFmtId="0" fontId="77" fillId="0" borderId="13" xfId="1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76" fillId="0" borderId="27" xfId="0" applyFont="1" applyBorder="1" applyAlignment="1">
      <alignment horizontal="center" vertical="center"/>
    </xf>
    <xf numFmtId="0" fontId="76" fillId="0" borderId="36" xfId="0" applyFont="1" applyBorder="1" applyAlignment="1">
      <alignment horizontal="center" vertical="center"/>
    </xf>
    <xf numFmtId="0" fontId="76" fillId="0" borderId="34" xfId="0" applyFont="1" applyBorder="1" applyAlignment="1">
      <alignment horizontal="center" vertical="center"/>
    </xf>
    <xf numFmtId="0" fontId="76" fillId="0" borderId="35" xfId="0" applyFont="1" applyBorder="1" applyAlignment="1">
      <alignment horizontal="center" vertical="center"/>
    </xf>
    <xf numFmtId="0" fontId="76" fillId="0" borderId="32" xfId="0" applyFont="1" applyBorder="1" applyAlignment="1">
      <alignment horizontal="center" vertical="center"/>
    </xf>
    <xf numFmtId="0" fontId="76" fillId="0" borderId="33" xfId="0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69" fillId="0" borderId="17" xfId="0" applyFont="1" applyBorder="1" applyAlignment="1">
      <alignment horizontal="center" vertical="center"/>
    </xf>
    <xf numFmtId="0" fontId="76" fillId="0" borderId="24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6" xfId="0" applyFont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0" fontId="76" fillId="0" borderId="37" xfId="0" applyFont="1" applyBorder="1" applyAlignment="1">
      <alignment horizontal="center" vertical="center"/>
    </xf>
    <xf numFmtId="0" fontId="69" fillId="0" borderId="31" xfId="0" applyFont="1" applyBorder="1" applyAlignment="1">
      <alignment horizontal="center" vertical="center"/>
    </xf>
    <xf numFmtId="0" fontId="57" fillId="5" borderId="25" xfId="0" applyFont="1" applyFill="1" applyBorder="1" applyAlignment="1">
      <alignment horizontal="center" vertical="center"/>
    </xf>
    <xf numFmtId="0" fontId="57" fillId="5" borderId="28" xfId="0" applyFont="1" applyFill="1" applyBorder="1" applyAlignment="1">
      <alignment horizontal="center" vertical="center"/>
    </xf>
    <xf numFmtId="0" fontId="57" fillId="5" borderId="26" xfId="0" applyFont="1" applyFill="1" applyBorder="1" applyAlignment="1">
      <alignment horizontal="center" vertical="center"/>
    </xf>
    <xf numFmtId="0" fontId="82" fillId="0" borderId="17" xfId="1" applyFont="1" applyBorder="1" applyAlignment="1">
      <alignment horizontal="center" vertical="center"/>
    </xf>
    <xf numFmtId="0" fontId="82" fillId="0" borderId="19" xfId="1" applyFont="1" applyBorder="1" applyAlignment="1">
      <alignment horizontal="center" vertical="center"/>
    </xf>
    <xf numFmtId="0" fontId="58" fillId="5" borderId="25" xfId="1" applyFont="1" applyFill="1" applyBorder="1" applyAlignment="1">
      <alignment horizontal="left" vertical="center"/>
    </xf>
    <xf numFmtId="0" fontId="58" fillId="5" borderId="28" xfId="1" applyFont="1" applyFill="1" applyBorder="1" applyAlignment="1">
      <alignment horizontal="left" vertical="center"/>
    </xf>
    <xf numFmtId="0" fontId="58" fillId="5" borderId="26" xfId="1" applyFont="1" applyFill="1" applyBorder="1" applyAlignment="1">
      <alignment horizontal="left" vertical="center"/>
    </xf>
    <xf numFmtId="0" fontId="55" fillId="5" borderId="12" xfId="0" applyFont="1" applyFill="1" applyBorder="1" applyAlignment="1">
      <alignment horizontal="center" vertical="center"/>
    </xf>
    <xf numFmtId="0" fontId="55" fillId="5" borderId="14" xfId="0" applyFont="1" applyFill="1" applyBorder="1" applyAlignment="1">
      <alignment horizontal="center" vertical="center"/>
    </xf>
    <xf numFmtId="0" fontId="59" fillId="5" borderId="12" xfId="1" applyFont="1" applyFill="1" applyBorder="1" applyAlignment="1">
      <alignment horizontal="center" vertical="center"/>
    </xf>
    <xf numFmtId="0" fontId="59" fillId="5" borderId="14" xfId="1" applyFont="1" applyFill="1" applyBorder="1" applyAlignment="1">
      <alignment horizontal="center" vertical="center"/>
    </xf>
    <xf numFmtId="0" fontId="60" fillId="5" borderId="18" xfId="1" applyFont="1" applyFill="1" applyBorder="1" applyAlignment="1">
      <alignment horizontal="center" wrapText="1"/>
    </xf>
    <xf numFmtId="0" fontId="60" fillId="5" borderId="17" xfId="1" applyFont="1" applyFill="1" applyBorder="1" applyAlignment="1">
      <alignment horizontal="center" wrapText="1"/>
    </xf>
    <xf numFmtId="0" fontId="60" fillId="5" borderId="15" xfId="1" applyFont="1" applyFill="1" applyBorder="1" applyAlignment="1">
      <alignment horizontal="center" wrapText="1"/>
    </xf>
    <xf numFmtId="0" fontId="60" fillId="5" borderId="19" xfId="1" applyFont="1" applyFill="1" applyBorder="1" applyAlignment="1">
      <alignment horizontal="center" wrapText="1"/>
    </xf>
    <xf numFmtId="0" fontId="73" fillId="0" borderId="12" xfId="1" applyFont="1" applyBorder="1" applyAlignment="1">
      <alignment horizontal="center" vertical="center"/>
    </xf>
    <xf numFmtId="0" fontId="73" fillId="0" borderId="13" xfId="1" applyFont="1" applyBorder="1" applyAlignment="1">
      <alignment horizontal="center" vertical="center"/>
    </xf>
    <xf numFmtId="0" fontId="83" fillId="0" borderId="16" xfId="0" applyFont="1" applyBorder="1" applyAlignment="1">
      <alignment horizontal="left"/>
    </xf>
    <xf numFmtId="0" fontId="83" fillId="0" borderId="19" xfId="0" applyFont="1" applyBorder="1" applyAlignment="1">
      <alignment horizontal="left"/>
    </xf>
    <xf numFmtId="0" fontId="73" fillId="0" borderId="12" xfId="4" applyFont="1" applyBorder="1" applyAlignment="1">
      <alignment horizontal="center" vertical="center"/>
    </xf>
    <xf numFmtId="0" fontId="73" fillId="0" borderId="13" xfId="4" applyFont="1" applyBorder="1" applyAlignment="1">
      <alignment horizontal="center" vertical="center"/>
    </xf>
    <xf numFmtId="0" fontId="64" fillId="5" borderId="18" xfId="1" applyFont="1" applyFill="1" applyBorder="1" applyAlignment="1">
      <alignment horizontal="center" vertical="center"/>
    </xf>
    <xf numFmtId="0" fontId="64" fillId="5" borderId="17" xfId="1" applyFont="1" applyFill="1" applyBorder="1" applyAlignment="1">
      <alignment horizontal="center" vertical="center"/>
    </xf>
    <xf numFmtId="0" fontId="64" fillId="5" borderId="21" xfId="1" applyFont="1" applyFill="1" applyBorder="1" applyAlignment="1">
      <alignment horizontal="center" vertical="center"/>
    </xf>
    <xf numFmtId="0" fontId="64" fillId="5" borderId="20" xfId="1" applyFont="1" applyFill="1" applyBorder="1" applyAlignment="1">
      <alignment horizontal="center" vertical="center"/>
    </xf>
    <xf numFmtId="0" fontId="63" fillId="5" borderId="12" xfId="1" applyFont="1" applyFill="1" applyBorder="1" applyAlignment="1">
      <alignment horizontal="center" vertical="center" wrapText="1"/>
    </xf>
    <xf numFmtId="0" fontId="63" fillId="5" borderId="14" xfId="1" applyFont="1" applyFill="1" applyBorder="1" applyAlignment="1">
      <alignment horizontal="center" vertical="center" wrapText="1"/>
    </xf>
    <xf numFmtId="3" fontId="82" fillId="0" borderId="17" xfId="1" applyNumberFormat="1" applyFont="1" applyBorder="1" applyAlignment="1">
      <alignment horizontal="center" vertical="center"/>
    </xf>
    <xf numFmtId="3" fontId="82" fillId="0" borderId="19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3" fillId="0" borderId="17" xfId="1" applyFont="1" applyBorder="1" applyAlignment="1">
      <alignment horizontal="center" vertical="center"/>
    </xf>
    <xf numFmtId="0" fontId="33" fillId="0" borderId="19" xfId="1" applyFont="1" applyBorder="1" applyAlignment="1">
      <alignment horizontal="center" vertical="center"/>
    </xf>
    <xf numFmtId="0" fontId="34" fillId="0" borderId="12" xfId="1" applyFont="1" applyBorder="1" applyAlignment="1">
      <alignment horizontal="center" vertical="center"/>
    </xf>
    <xf numFmtId="0" fontId="34" fillId="0" borderId="13" xfId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5" fillId="4" borderId="25" xfId="0" applyFont="1" applyFill="1" applyBorder="1" applyAlignment="1">
      <alignment horizontal="center" vertical="center"/>
    </xf>
    <xf numFmtId="0" fontId="35" fillId="4" borderId="28" xfId="0" applyFont="1" applyFill="1" applyBorder="1" applyAlignment="1">
      <alignment horizontal="center" vertical="center"/>
    </xf>
    <xf numFmtId="0" fontId="35" fillId="4" borderId="26" xfId="0" applyFont="1" applyFill="1" applyBorder="1" applyAlignment="1">
      <alignment horizontal="center" vertical="center"/>
    </xf>
    <xf numFmtId="0" fontId="29" fillId="4" borderId="18" xfId="1" applyFont="1" applyFill="1" applyBorder="1" applyAlignment="1">
      <alignment horizontal="center" vertical="center"/>
    </xf>
    <xf numFmtId="0" fontId="29" fillId="4" borderId="17" xfId="1" applyFont="1" applyFill="1" applyBorder="1" applyAlignment="1">
      <alignment horizontal="center" vertical="center"/>
    </xf>
    <xf numFmtId="0" fontId="29" fillId="4" borderId="21" xfId="1" applyFont="1" applyFill="1" applyBorder="1" applyAlignment="1">
      <alignment horizontal="center" vertical="center"/>
    </xf>
    <xf numFmtId="0" fontId="29" fillId="4" borderId="20" xfId="1" applyFont="1" applyFill="1" applyBorder="1" applyAlignment="1">
      <alignment horizontal="center" vertical="center"/>
    </xf>
    <xf numFmtId="0" fontId="29" fillId="4" borderId="15" xfId="1" applyFont="1" applyFill="1" applyBorder="1" applyAlignment="1">
      <alignment horizontal="center" vertical="center"/>
    </xf>
    <xf numFmtId="0" fontId="29" fillId="4" borderId="19" xfId="1" applyFont="1" applyFill="1" applyBorder="1" applyAlignment="1">
      <alignment horizontal="center" vertical="center"/>
    </xf>
    <xf numFmtId="0" fontId="44" fillId="4" borderId="12" xfId="1" applyFont="1" applyFill="1" applyBorder="1" applyAlignment="1">
      <alignment horizontal="center" vertical="center" wrapText="1"/>
    </xf>
    <xf numFmtId="0" fontId="44" fillId="4" borderId="14" xfId="1" applyFont="1" applyFill="1" applyBorder="1" applyAlignment="1">
      <alignment horizontal="center" vertical="center" wrapText="1"/>
    </xf>
    <xf numFmtId="0" fontId="44" fillId="4" borderId="13" xfId="1" applyFont="1" applyFill="1" applyBorder="1" applyAlignment="1">
      <alignment horizontal="center" vertical="center" wrapText="1"/>
    </xf>
    <xf numFmtId="0" fontId="41" fillId="0" borderId="12" xfId="1" applyFont="1" applyBorder="1" applyAlignment="1">
      <alignment horizontal="center" vertical="center"/>
    </xf>
    <xf numFmtId="0" fontId="41" fillId="0" borderId="13" xfId="1" applyFont="1" applyBorder="1" applyAlignment="1">
      <alignment horizontal="center" vertical="center"/>
    </xf>
    <xf numFmtId="0" fontId="31" fillId="4" borderId="18" xfId="1" applyFont="1" applyFill="1" applyBorder="1" applyAlignment="1">
      <alignment horizontal="center" vertical="center" wrapText="1"/>
    </xf>
    <xf numFmtId="0" fontId="31" fillId="4" borderId="17" xfId="1" applyFont="1" applyFill="1" applyBorder="1" applyAlignment="1">
      <alignment horizontal="center" vertical="center" wrapText="1"/>
    </xf>
    <xf numFmtId="0" fontId="31" fillId="4" borderId="21" xfId="1" applyFont="1" applyFill="1" applyBorder="1" applyAlignment="1">
      <alignment horizontal="center" vertical="center" wrapText="1"/>
    </xf>
    <xf numFmtId="0" fontId="31" fillId="4" borderId="20" xfId="1" applyFont="1" applyFill="1" applyBorder="1" applyAlignment="1">
      <alignment horizontal="center" vertical="center" wrapText="1"/>
    </xf>
    <xf numFmtId="0" fontId="31" fillId="4" borderId="0" xfId="1" applyFont="1" applyFill="1" applyAlignment="1">
      <alignment horizontal="center" vertical="center" wrapText="1"/>
    </xf>
    <xf numFmtId="0" fontId="30" fillId="2" borderId="12" xfId="1" applyFont="1" applyFill="1" applyBorder="1" applyAlignment="1">
      <alignment horizontal="center" vertical="center"/>
    </xf>
    <xf numFmtId="0" fontId="30" fillId="2" borderId="13" xfId="1" applyFont="1" applyFill="1" applyBorder="1" applyAlignment="1">
      <alignment horizontal="center" vertical="center"/>
    </xf>
    <xf numFmtId="0" fontId="39" fillId="4" borderId="25" xfId="0" applyFont="1" applyFill="1" applyBorder="1" applyAlignment="1">
      <alignment horizontal="center" vertical="center"/>
    </xf>
    <xf numFmtId="0" fontId="39" fillId="4" borderId="28" xfId="0" applyFont="1" applyFill="1" applyBorder="1" applyAlignment="1">
      <alignment horizontal="center" vertical="center"/>
    </xf>
    <xf numFmtId="0" fontId="39" fillId="4" borderId="26" xfId="0" applyFont="1" applyFill="1" applyBorder="1" applyAlignment="1">
      <alignment horizontal="center" vertical="center"/>
    </xf>
    <xf numFmtId="0" fontId="43" fillId="0" borderId="25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24" fillId="0" borderId="12" xfId="1" applyFont="1" applyBorder="1" applyAlignment="1">
      <alignment horizontal="center" vertical="center"/>
    </xf>
    <xf numFmtId="0" fontId="24" fillId="0" borderId="13" xfId="1" applyFont="1" applyBorder="1" applyAlignment="1">
      <alignment horizontal="center" vertical="center"/>
    </xf>
    <xf numFmtId="0" fontId="32" fillId="0" borderId="12" xfId="1" applyFont="1" applyBorder="1" applyAlignment="1">
      <alignment horizontal="left" vertical="center"/>
    </xf>
    <xf numFmtId="0" fontId="32" fillId="0" borderId="13" xfId="1" applyFont="1" applyBorder="1" applyAlignment="1">
      <alignment horizontal="left" vertical="center"/>
    </xf>
    <xf numFmtId="0" fontId="32" fillId="0" borderId="12" xfId="1" applyFont="1" applyBorder="1" applyAlignment="1">
      <alignment horizontal="center" vertical="center"/>
    </xf>
    <xf numFmtId="0" fontId="32" fillId="0" borderId="13" xfId="1" applyFont="1" applyBorder="1" applyAlignment="1">
      <alignment horizontal="center" vertical="center"/>
    </xf>
    <xf numFmtId="0" fontId="24" fillId="0" borderId="12" xfId="1" applyFont="1" applyBorder="1" applyAlignment="1">
      <alignment horizontal="left" vertical="center"/>
    </xf>
    <xf numFmtId="0" fontId="24" fillId="0" borderId="13" xfId="1" applyFont="1" applyBorder="1" applyAlignment="1">
      <alignment horizontal="left" vertical="center"/>
    </xf>
    <xf numFmtId="0" fontId="33" fillId="0" borderId="12" xfId="1" applyFont="1" applyBorder="1" applyAlignment="1">
      <alignment horizontal="center" vertical="center"/>
    </xf>
    <xf numFmtId="0" fontId="33" fillId="0" borderId="13" xfId="1" applyFont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0" fontId="32" fillId="0" borderId="15" xfId="1" applyFont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4" xr:uid="{99491786-3392-4F5E-AFC9-828694FD7104}"/>
    <cellStyle name="Normal 3 3" xfId="3" xr:uid="{00000000-0005-0000-0000-000002000000}"/>
    <cellStyle name="Normal 3 3 2" xfId="5" xr:uid="{1EFD05E6-1C45-463B-8B28-AA74C002E547}"/>
    <cellStyle name="Normal 4 2" xfId="2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196688</xdr:colOff>
      <xdr:row>1</xdr:row>
      <xdr:rowOff>158749</xdr:rowOff>
    </xdr:from>
    <xdr:ext cx="3079912" cy="1167260"/>
    <xdr:pic>
      <xdr:nvPicPr>
        <xdr:cNvPr id="2" name="Picture 1">
          <a:extLst>
            <a:ext uri="{FF2B5EF4-FFF2-40B4-BE49-F238E27FC236}">
              <a16:creationId xmlns:a16="http://schemas.microsoft.com/office/drawing/2014/main" id="{A4B6E4EC-2C2D-4840-859A-EC5858BF3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688" y="361949"/>
          <a:ext cx="3079912" cy="1167260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187617</xdr:colOff>
      <xdr:row>1</xdr:row>
      <xdr:rowOff>69796</xdr:rowOff>
    </xdr:from>
    <xdr:ext cx="2113666" cy="801061"/>
    <xdr:pic>
      <xdr:nvPicPr>
        <xdr:cNvPr id="4" name="Picture 3">
          <a:extLst>
            <a:ext uri="{FF2B5EF4-FFF2-40B4-BE49-F238E27FC236}">
              <a16:creationId xmlns:a16="http://schemas.microsoft.com/office/drawing/2014/main" id="{A4169B79-F7A4-4671-A0F4-D3D288FED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17" y="69796"/>
          <a:ext cx="2113666" cy="801061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187617</xdr:colOff>
      <xdr:row>1</xdr:row>
      <xdr:rowOff>69796</xdr:rowOff>
    </xdr:from>
    <xdr:ext cx="2113666" cy="801061"/>
    <xdr:pic>
      <xdr:nvPicPr>
        <xdr:cNvPr id="2" name="Picture 1">
          <a:extLst>
            <a:ext uri="{FF2B5EF4-FFF2-40B4-BE49-F238E27FC236}">
              <a16:creationId xmlns:a16="http://schemas.microsoft.com/office/drawing/2014/main" id="{7DEF10A9-1591-4335-980F-A66E01347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17" y="69796"/>
          <a:ext cx="2113666" cy="801061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36"/>
  <sheetViews>
    <sheetView tabSelected="1" zoomScale="30" zoomScaleNormal="30" zoomScaleSheetLayoutView="80" workbookViewId="0">
      <selection activeCell="B5" sqref="B5:C7"/>
    </sheetView>
  </sheetViews>
  <sheetFormatPr defaultColWidth="5.69921875" defaultRowHeight="15" customHeight="1"/>
  <cols>
    <col min="1" max="1" width="5.69921875" style="64"/>
    <col min="2" max="2" width="15.59765625" style="64" customWidth="1"/>
    <col min="3" max="3" width="135" style="72" customWidth="1"/>
    <col min="4" max="4" width="28.19921875" style="64" customWidth="1"/>
    <col min="5" max="5" width="116.09765625" style="64" customWidth="1"/>
    <col min="6" max="6" width="30.8984375" style="64" customWidth="1"/>
    <col min="7" max="7" width="33.8984375" style="64" customWidth="1"/>
    <col min="8" max="8" width="45.8984375" style="64" customWidth="1"/>
    <col min="9" max="9" width="11.59765625" style="64" customWidth="1"/>
    <col min="10" max="16384" width="5.69921875" style="64"/>
  </cols>
  <sheetData>
    <row r="2" spans="2:10" ht="58.95" customHeight="1"/>
    <row r="3" spans="2:10" ht="30.75" customHeight="1" thickBot="1">
      <c r="E3" s="65"/>
      <c r="F3" s="65"/>
      <c r="H3" s="65"/>
      <c r="I3" s="65"/>
      <c r="J3" s="65"/>
    </row>
    <row r="4" spans="2:10" ht="103.95" customHeight="1" thickBot="1">
      <c r="B4" s="173" t="s">
        <v>147</v>
      </c>
      <c r="C4" s="174"/>
      <c r="D4" s="160" t="s">
        <v>143</v>
      </c>
      <c r="E4" s="161"/>
      <c r="F4" s="161"/>
      <c r="G4" s="161"/>
      <c r="H4" s="162"/>
    </row>
    <row r="5" spans="2:10" s="67" customFormat="1" ht="15" customHeight="1">
      <c r="B5" s="177" t="s">
        <v>110</v>
      </c>
      <c r="C5" s="178"/>
      <c r="D5" s="181" t="s">
        <v>39</v>
      </c>
      <c r="E5" s="165" t="s">
        <v>111</v>
      </c>
      <c r="F5" s="167" t="s">
        <v>72</v>
      </c>
      <c r="G5" s="168"/>
      <c r="H5" s="163" t="s">
        <v>112</v>
      </c>
    </row>
    <row r="6" spans="2:10" s="67" customFormat="1" ht="30.6" customHeight="1" thickBot="1">
      <c r="B6" s="179"/>
      <c r="C6" s="180"/>
      <c r="D6" s="182"/>
      <c r="E6" s="166"/>
      <c r="F6" s="169"/>
      <c r="G6" s="170"/>
      <c r="H6" s="164"/>
    </row>
    <row r="7" spans="2:10" s="67" customFormat="1" ht="58.5" customHeight="1" thickBot="1">
      <c r="B7" s="179"/>
      <c r="C7" s="180"/>
      <c r="D7" s="182"/>
      <c r="E7" s="166"/>
      <c r="F7" s="73" t="s">
        <v>75</v>
      </c>
      <c r="G7" s="73" t="s">
        <v>73</v>
      </c>
      <c r="H7" s="164"/>
    </row>
    <row r="8" spans="2:10" s="71" customFormat="1" ht="75" customHeight="1">
      <c r="B8" s="171">
        <v>1</v>
      </c>
      <c r="C8" s="106" t="s">
        <v>115</v>
      </c>
      <c r="D8" s="171">
        <v>36</v>
      </c>
      <c r="E8" s="125">
        <v>171</v>
      </c>
      <c r="F8" s="158">
        <f>SUM(E8:E8)</f>
        <v>171</v>
      </c>
      <c r="G8" s="134">
        <f>มหาชัย!C10</f>
        <v>5</v>
      </c>
      <c r="H8" s="136"/>
    </row>
    <row r="9" spans="2:10" s="71" customFormat="1" ht="75" customHeight="1" thickBot="1">
      <c r="B9" s="172"/>
      <c r="C9" s="110" t="s">
        <v>116</v>
      </c>
      <c r="D9" s="172"/>
      <c r="E9" s="126" t="str">
        <f>IF(E8=0, "", IF(MOD(E8, $D$8) = 0, E8 / $D$8, IF(INT(E8 / $D$8) = 0, MOD(E8, $D$8) &amp; " P", INT(E8 / $D$8) &amp; " + " &amp; MOD(E8, $D$8) &amp; " P")))</f>
        <v>4 + 27 P</v>
      </c>
      <c r="F9" s="159"/>
      <c r="G9" s="135"/>
      <c r="H9" s="137"/>
    </row>
    <row r="10" spans="2:10" s="71" customFormat="1" ht="75" customHeight="1">
      <c r="B10" s="171">
        <v>2</v>
      </c>
      <c r="C10" s="107" t="s">
        <v>61</v>
      </c>
      <c r="D10" s="171">
        <v>32</v>
      </c>
      <c r="E10" s="125">
        <v>384</v>
      </c>
      <c r="F10" s="158">
        <f>SUM(E10:E10)</f>
        <v>384</v>
      </c>
      <c r="G10" s="134">
        <f>มหาชัย!C11</f>
        <v>12</v>
      </c>
      <c r="H10" s="136"/>
    </row>
    <row r="11" spans="2:10" s="71" customFormat="1" ht="75" customHeight="1" thickBot="1">
      <c r="B11" s="172"/>
      <c r="C11" s="110" t="s">
        <v>121</v>
      </c>
      <c r="D11" s="172"/>
      <c r="E11" s="126">
        <f>IF(E10=0, "", IF(MOD(E10, $D$10) = 0, E10 / $D$10, IF(INT(E10 / $D$10) = 0, MOD(E10, $D$10) &amp; " P", INT(E10 / $D$10) &amp; " + " &amp; MOD(E10, $D$10) &amp; " P")))</f>
        <v>12</v>
      </c>
      <c r="F11" s="159"/>
      <c r="G11" s="135"/>
      <c r="H11" s="137"/>
    </row>
    <row r="12" spans="2:10" s="71" customFormat="1" ht="75" customHeight="1">
      <c r="B12" s="171">
        <v>3</v>
      </c>
      <c r="C12" s="107" t="s">
        <v>127</v>
      </c>
      <c r="D12" s="138">
        <v>36</v>
      </c>
      <c r="E12" s="125">
        <v>154</v>
      </c>
      <c r="F12" s="158">
        <f>SUM(E12:E12)</f>
        <v>154</v>
      </c>
      <c r="G12" s="134">
        <f>มหาชัย!C12</f>
        <v>5</v>
      </c>
      <c r="H12" s="136"/>
    </row>
    <row r="13" spans="2:10" s="71" customFormat="1" ht="75" customHeight="1" thickBot="1">
      <c r="B13" s="172"/>
      <c r="C13" s="110" t="s">
        <v>128</v>
      </c>
      <c r="D13" s="139"/>
      <c r="E13" s="126" t="str">
        <f>IF(E12=0, "", IF(MOD(E12, $D$12) = 0, E12/ $D$12, IF(INT(E12 / $D$12) = 0, MOD(E12, $D$12) &amp; " P", INT(E12 / $D$12) &amp; " + " &amp; MOD(E12, $D$12) &amp; " P")))</f>
        <v>4 + 10 P</v>
      </c>
      <c r="F13" s="159"/>
      <c r="G13" s="135"/>
      <c r="H13" s="137"/>
    </row>
    <row r="14" spans="2:10" s="71" customFormat="1" ht="75" customHeight="1">
      <c r="B14" s="120">
        <v>4</v>
      </c>
      <c r="C14" s="107" t="s">
        <v>138</v>
      </c>
      <c r="D14" s="171">
        <v>14</v>
      </c>
      <c r="E14" s="125">
        <v>115</v>
      </c>
      <c r="F14" s="158">
        <f>SUM(E14:E14)</f>
        <v>115</v>
      </c>
      <c r="G14" s="134">
        <f>มหาชัย!C13</f>
        <v>9</v>
      </c>
      <c r="H14" s="136"/>
    </row>
    <row r="15" spans="2:10" s="71" customFormat="1" ht="75" customHeight="1" thickBot="1">
      <c r="B15" s="121"/>
      <c r="C15" s="110" t="s">
        <v>139</v>
      </c>
      <c r="D15" s="172"/>
      <c r="E15" s="126" t="str">
        <f>IF(E14=0, "", IF(MOD(E14, $D$14) = 0, E14/ $D$14, IF(INT(E14 / $D$14) = 0, MOD(E14, $D$14) &amp; " P", INT(E14 / $D$14) &amp; " + " &amp; MOD(E14, $D$14) &amp; " P")))</f>
        <v>8 + 3 P</v>
      </c>
      <c r="F15" s="159"/>
      <c r="G15" s="135"/>
      <c r="H15" s="137"/>
    </row>
    <row r="16" spans="2:10" s="71" customFormat="1" ht="75" customHeight="1">
      <c r="B16" s="120">
        <v>5</v>
      </c>
      <c r="C16" s="107" t="s">
        <v>140</v>
      </c>
      <c r="D16" s="171">
        <v>14</v>
      </c>
      <c r="E16" s="125">
        <v>95</v>
      </c>
      <c r="F16" s="158">
        <f>SUM(E16:E16)</f>
        <v>95</v>
      </c>
      <c r="G16" s="134">
        <f>มหาชัย!C14</f>
        <v>7</v>
      </c>
      <c r="H16" s="136"/>
    </row>
    <row r="17" spans="2:8" s="71" customFormat="1" ht="75" customHeight="1" thickBot="1">
      <c r="B17" s="121"/>
      <c r="C17" s="110" t="s">
        <v>141</v>
      </c>
      <c r="D17" s="172"/>
      <c r="E17" s="126" t="str">
        <f>IF(E16=0, "", IF(MOD(E16, $D$16) = 0, E16/ $D$16, IF(INT(E16 / $D$16) = 0, MOD(E16, $D$16) &amp; " P", INT(E16 / $D$16) &amp; " + " &amp; MOD(E16, $D$16) &amp; " P")))</f>
        <v>6 + 11 P</v>
      </c>
      <c r="F17" s="159"/>
      <c r="G17" s="135"/>
      <c r="H17" s="137"/>
    </row>
    <row r="18" spans="2:8" s="71" customFormat="1" ht="75" customHeight="1">
      <c r="B18" s="118">
        <v>6</v>
      </c>
      <c r="C18" s="107" t="s">
        <v>62</v>
      </c>
      <c r="D18" s="138">
        <v>32</v>
      </c>
      <c r="E18" s="125">
        <v>183</v>
      </c>
      <c r="F18" s="158">
        <f>SUM(E18:E18)</f>
        <v>183</v>
      </c>
      <c r="G18" s="134">
        <f>มหาชัย!C15</f>
        <v>6</v>
      </c>
      <c r="H18" s="136"/>
    </row>
    <row r="19" spans="2:8" s="71" customFormat="1" ht="75" customHeight="1" thickBot="1">
      <c r="B19" s="119"/>
      <c r="C19" s="110" t="s">
        <v>120</v>
      </c>
      <c r="D19" s="139"/>
      <c r="E19" s="126" t="str">
        <f>IF(E18=0, "", IF(MOD(E18, $D$18) = 0, E18/ $D$18, IF(INT(E18 / $D$18) = 0, MOD(E18, $D$18) &amp; " P", INT(E18 / $D$18) &amp; " + " &amp; MOD(E18, $D$18) &amp; " P")))</f>
        <v>5 + 23 P</v>
      </c>
      <c r="F19" s="159"/>
      <c r="G19" s="135"/>
      <c r="H19" s="137"/>
    </row>
    <row r="20" spans="2:8" s="71" customFormat="1" ht="75" customHeight="1">
      <c r="B20" s="123">
        <v>7</v>
      </c>
      <c r="C20" s="106" t="s">
        <v>136</v>
      </c>
      <c r="D20" s="138">
        <v>27</v>
      </c>
      <c r="E20" s="127">
        <v>316</v>
      </c>
      <c r="F20" s="183">
        <f>SUM(E20:E20)</f>
        <v>316</v>
      </c>
      <c r="G20" s="134">
        <f>มหาชัย!C16</f>
        <v>12</v>
      </c>
      <c r="H20" s="136"/>
    </row>
    <row r="21" spans="2:8" s="71" customFormat="1" ht="75" customHeight="1" thickBot="1">
      <c r="B21" s="124"/>
      <c r="C21" s="110" t="s">
        <v>137</v>
      </c>
      <c r="D21" s="139"/>
      <c r="E21" s="126" t="str">
        <f>IF(E20=0, "", IF(MOD(E20, $D$20) = 0, E20/ $D$20, IF(INT(E20 / $D$20) = 0, MOD(E20, $D$20) &amp; " P", INT(E20 / $D$20) &amp; " + " &amp; MOD(E20, $D$20) &amp; " P")))</f>
        <v>11 + 19 P</v>
      </c>
      <c r="F21" s="184"/>
      <c r="G21" s="135"/>
      <c r="H21" s="137"/>
    </row>
    <row r="22" spans="2:8" s="71" customFormat="1" ht="75" customHeight="1">
      <c r="B22" s="120">
        <v>8</v>
      </c>
      <c r="C22" s="108" t="s">
        <v>142</v>
      </c>
      <c r="D22" s="138">
        <v>27</v>
      </c>
      <c r="E22" s="125">
        <v>322</v>
      </c>
      <c r="F22" s="158">
        <f>SUM(E22:E22)</f>
        <v>322</v>
      </c>
      <c r="G22" s="134">
        <f>มหาชัย!C17</f>
        <v>12</v>
      </c>
      <c r="H22" s="136"/>
    </row>
    <row r="23" spans="2:8" s="71" customFormat="1" ht="75" customHeight="1" thickBot="1">
      <c r="B23" s="121"/>
      <c r="C23" s="110" t="s">
        <v>122</v>
      </c>
      <c r="D23" s="139"/>
      <c r="E23" s="126" t="str">
        <f>IF(E22=0, "", IF(MOD(E22, $D$22) = 0, E22/ $D$22, IF(INT(E22 / $D$22) = 0, MOD(E22, $D$22) &amp; " P", INT(E22 / $D$22) &amp; " + " &amp; MOD(E22, $D$22) &amp; " P")))</f>
        <v>11 + 25 P</v>
      </c>
      <c r="F23" s="159"/>
      <c r="G23" s="135"/>
      <c r="H23" s="137"/>
    </row>
    <row r="24" spans="2:8" s="71" customFormat="1" ht="75" customHeight="1">
      <c r="B24" s="120">
        <v>9</v>
      </c>
      <c r="C24" s="109" t="s">
        <v>63</v>
      </c>
      <c r="D24" s="138">
        <v>36</v>
      </c>
      <c r="E24" s="125">
        <v>257</v>
      </c>
      <c r="F24" s="158">
        <f>SUM(E24:E24)</f>
        <v>257</v>
      </c>
      <c r="G24" s="134">
        <f>มหาชัย!C18</f>
        <v>8</v>
      </c>
      <c r="H24" s="136"/>
    </row>
    <row r="25" spans="2:8" s="71" customFormat="1" ht="75" customHeight="1" thickBot="1">
      <c r="B25" s="121"/>
      <c r="C25" s="128" t="s">
        <v>119</v>
      </c>
      <c r="D25" s="139"/>
      <c r="E25" s="126" t="str">
        <f>IF(E24=0, "", IF(MOD(E24, $D$24) = 0, E24/ $D$24, IF(INT(E24 / $D$24) = 0, MOD(E24, $D$24) &amp; " P", INT(E24 / $D$24) &amp; " + " &amp; MOD(E24, $D$24) &amp; " P")))</f>
        <v>7 + 5 P</v>
      </c>
      <c r="F25" s="159"/>
      <c r="G25" s="135"/>
      <c r="H25" s="137"/>
    </row>
    <row r="26" spans="2:8" s="71" customFormat="1" ht="75" customHeight="1">
      <c r="B26" s="120">
        <v>10</v>
      </c>
      <c r="C26" s="107" t="s">
        <v>114</v>
      </c>
      <c r="D26" s="138">
        <v>20</v>
      </c>
      <c r="E26" s="125">
        <v>127</v>
      </c>
      <c r="F26" s="158">
        <f>SUM(E26:E26)</f>
        <v>127</v>
      </c>
      <c r="G26" s="134">
        <f>มหาชัย!C19</f>
        <v>7</v>
      </c>
      <c r="H26" s="136"/>
    </row>
    <row r="27" spans="2:8" s="71" customFormat="1" ht="75" customHeight="1" thickBot="1">
      <c r="B27" s="121"/>
      <c r="C27" s="110" t="s">
        <v>117</v>
      </c>
      <c r="D27" s="139"/>
      <c r="E27" s="126" t="str">
        <f>IF(E26=0, "", IF(MOD(E26, $D$26) = 0, E26/ $D$26, IF(INT(E26 / $D$26) = 0, MOD(E26, $D$26) &amp; " P", INT(E26 / $D$26) &amp; " + " &amp; MOD(E26, $D$26) &amp; " P")))</f>
        <v>6 + 7 P</v>
      </c>
      <c r="F27" s="159"/>
      <c r="G27" s="135"/>
      <c r="H27" s="137"/>
    </row>
    <row r="28" spans="2:8" s="71" customFormat="1" ht="75" customHeight="1">
      <c r="B28" s="120">
        <v>11</v>
      </c>
      <c r="C28" s="109" t="s">
        <v>129</v>
      </c>
      <c r="D28" s="175">
        <v>15</v>
      </c>
      <c r="E28" s="129">
        <v>54</v>
      </c>
      <c r="F28" s="158">
        <f>SUM(E28:E28)</f>
        <v>54</v>
      </c>
      <c r="G28" s="134">
        <f>มหาชัย!C20</f>
        <v>4</v>
      </c>
      <c r="H28" s="136"/>
    </row>
    <row r="29" spans="2:8" s="71" customFormat="1" ht="75" customHeight="1" thickBot="1">
      <c r="B29" s="121"/>
      <c r="C29" s="110" t="s">
        <v>130</v>
      </c>
      <c r="D29" s="176"/>
      <c r="E29" s="130" t="str">
        <f>IF(E28=0, "", IF(MOD(E28, $D$28) = 0, E28/ $D$28, IF(INT(E28 / $D$28) = 0, MOD(E28, $D$28) &amp; " P", INT(E28 / $D$28) &amp; " + " &amp; MOD(E28, $D$28) &amp; " P")))</f>
        <v>3 + 9 P</v>
      </c>
      <c r="F29" s="159"/>
      <c r="G29" s="135"/>
      <c r="H29" s="137"/>
    </row>
    <row r="30" spans="2:8" s="71" customFormat="1" ht="75" customHeight="1">
      <c r="B30" s="120">
        <v>12</v>
      </c>
      <c r="C30" s="109" t="s">
        <v>65</v>
      </c>
      <c r="D30" s="138">
        <v>45</v>
      </c>
      <c r="E30" s="131">
        <v>8</v>
      </c>
      <c r="F30" s="158">
        <f>SUM(E30:E30)</f>
        <v>8</v>
      </c>
      <c r="G30" s="134">
        <f>มหาชัย!C21</f>
        <v>1</v>
      </c>
      <c r="H30" s="136"/>
    </row>
    <row r="31" spans="2:8" s="71" customFormat="1" ht="75" customHeight="1" thickBot="1">
      <c r="B31" s="121"/>
      <c r="C31" s="110" t="s">
        <v>118</v>
      </c>
      <c r="D31" s="139"/>
      <c r="E31" s="130" t="str">
        <f>IF(E30=0, "", IF(MOD(E30, $D$30) = 0, E30/ $D$30, IF(INT(E30 / $D$30) = 0, MOD(E30, $D$30) &amp; " P", INT(E30 / $D$30) &amp; " + " &amp; MOD(E30, $D$30) &amp; " P")))</f>
        <v>8 P</v>
      </c>
      <c r="F31" s="159"/>
      <c r="G31" s="135"/>
      <c r="H31" s="137"/>
    </row>
    <row r="32" spans="2:8" s="71" customFormat="1" ht="75" customHeight="1">
      <c r="B32" s="120">
        <v>13</v>
      </c>
      <c r="C32" s="109" t="s">
        <v>134</v>
      </c>
      <c r="D32" s="138">
        <v>15</v>
      </c>
      <c r="E32" s="131">
        <v>118</v>
      </c>
      <c r="F32" s="158">
        <f>SUM(E32:E32)</f>
        <v>118</v>
      </c>
      <c r="G32" s="134">
        <f>มหาชัย!C22</f>
        <v>8</v>
      </c>
      <c r="H32" s="136"/>
    </row>
    <row r="33" spans="2:9" s="71" customFormat="1" ht="75" customHeight="1" thickBot="1">
      <c r="B33" s="121"/>
      <c r="C33" s="110" t="s">
        <v>135</v>
      </c>
      <c r="D33" s="139"/>
      <c r="E33" s="130" t="str">
        <f>IF(E32=0, "", IF(MOD(E32, $D$32) = 0, E32/ $D$32, IF(INT(E32 / $D$32) = 0, MOD(E32, $D$32) &amp; " P", INT(E32 / $D$32) &amp; " + " &amp; MOD(E32, $D$32) &amp; " P")))</f>
        <v>7 + 13 P</v>
      </c>
      <c r="F33" s="159"/>
      <c r="G33" s="135"/>
      <c r="H33" s="137"/>
    </row>
    <row r="34" spans="2:9" s="71" customFormat="1" ht="75" customHeight="1">
      <c r="B34" s="132">
        <v>14</v>
      </c>
      <c r="C34" s="107" t="s">
        <v>66</v>
      </c>
      <c r="D34" s="138">
        <v>15</v>
      </c>
      <c r="E34" s="131">
        <v>41</v>
      </c>
      <c r="F34" s="158">
        <f>SUM(E34:E34)</f>
        <v>41</v>
      </c>
      <c r="G34" s="134">
        <f>มหาชัย!C23</f>
        <v>3</v>
      </c>
      <c r="H34" s="136"/>
    </row>
    <row r="35" spans="2:9" s="71" customFormat="1" ht="75" customHeight="1" thickBot="1">
      <c r="B35" s="124"/>
      <c r="C35" s="110" t="s">
        <v>123</v>
      </c>
      <c r="D35" s="139"/>
      <c r="E35" s="130" t="str">
        <f>IF(E34=0, "", IF(MOD(E34, $D$34) = 0, E34/ $D$34, IF(INT(E34 / $D$34) = 0, MOD(E34, $D$34) &amp; " P", INT(E34 / $D$34) &amp; " + " &amp; MOD(E34, $D$34) &amp; " P")))</f>
        <v>2 + 11 P</v>
      </c>
      <c r="F35" s="159"/>
      <c r="G35" s="135"/>
      <c r="H35" s="137"/>
    </row>
    <row r="36" spans="2:9" s="71" customFormat="1" ht="75" customHeight="1">
      <c r="B36" s="132">
        <v>15</v>
      </c>
      <c r="C36" s="109" t="s">
        <v>132</v>
      </c>
      <c r="D36" s="138">
        <v>27</v>
      </c>
      <c r="E36" s="131">
        <v>90</v>
      </c>
      <c r="F36" s="158">
        <f>SUM(E36:E36)</f>
        <v>90</v>
      </c>
      <c r="G36" s="134">
        <f>มหาชัย!C24</f>
        <v>4</v>
      </c>
      <c r="H36" s="136"/>
    </row>
    <row r="37" spans="2:9" s="71" customFormat="1" ht="75" customHeight="1" thickBot="1">
      <c r="B37" s="124"/>
      <c r="C37" s="110" t="s">
        <v>133</v>
      </c>
      <c r="D37" s="139"/>
      <c r="E37" s="130" t="str">
        <f>IF(E36=0, "", IF(MOD(E36, $D$36) = 0, E36/ $D$36, IF(INT(E36 / $D$36) = 0, MOD(E36, $D$36) &amp; " P", INT(E36 / $D$36) &amp; " + " &amp; MOD(E36, $D$36) &amp; " P")))</f>
        <v>3 + 9 P</v>
      </c>
      <c r="F37" s="159"/>
      <c r="G37" s="135"/>
      <c r="H37" s="137"/>
    </row>
    <row r="38" spans="2:9" s="71" customFormat="1" ht="75" customHeight="1">
      <c r="B38" s="132">
        <v>16</v>
      </c>
      <c r="C38" s="109" t="s">
        <v>68</v>
      </c>
      <c r="D38" s="138">
        <v>20</v>
      </c>
      <c r="E38" s="131">
        <v>182</v>
      </c>
      <c r="F38" s="158">
        <f>SUM(E38:E38)</f>
        <v>182</v>
      </c>
      <c r="G38" s="134">
        <f>มหาชัย!C25</f>
        <v>10</v>
      </c>
      <c r="H38" s="136"/>
    </row>
    <row r="39" spans="2:9" s="71" customFormat="1" ht="75" customHeight="1" thickBot="1">
      <c r="B39" s="124"/>
      <c r="C39" s="110" t="s">
        <v>124</v>
      </c>
      <c r="D39" s="139"/>
      <c r="E39" s="130" t="str">
        <f>IF(E38=0, "", IF(MOD(E38, $D$38) = 0, E38/ $D$38, IF(INT(E38 / $D$38) = 0, MOD(E38, $D$38) &amp; " P", INT(E38 / $D$38) &amp; " + " &amp; MOD(E38, $D$38) &amp; " P")))</f>
        <v>9 + 2 P</v>
      </c>
      <c r="F39" s="159"/>
      <c r="G39" s="135"/>
      <c r="H39" s="137"/>
    </row>
    <row r="40" spans="2:9" s="71" customFormat="1" ht="75" customHeight="1">
      <c r="B40" s="132">
        <v>17</v>
      </c>
      <c r="C40" s="108" t="s">
        <v>69</v>
      </c>
      <c r="D40" s="138">
        <v>32</v>
      </c>
      <c r="E40" s="131">
        <v>89</v>
      </c>
      <c r="F40" s="158">
        <f>SUM(E40:E40)</f>
        <v>89</v>
      </c>
      <c r="G40" s="134">
        <f>มหาชัย!C26</f>
        <v>3</v>
      </c>
      <c r="H40" s="136"/>
    </row>
    <row r="41" spans="2:9" s="71" customFormat="1" ht="75" customHeight="1" thickBot="1">
      <c r="B41" s="124"/>
      <c r="C41" s="110" t="s">
        <v>125</v>
      </c>
      <c r="D41" s="139"/>
      <c r="E41" s="130" t="str">
        <f>IF(E40=0, "", IF(MOD(E40, $D$40) = 0, E40/ $D$40, IF(INT(E40 / $D$40) = 0, MOD(E40, $D$40) &amp; " P", INT(E40 / $D$40) &amp; " + " &amp; MOD(E40, $D$40) &amp; " P")))</f>
        <v>2 + 25 P</v>
      </c>
      <c r="F41" s="159"/>
      <c r="G41" s="135"/>
      <c r="H41" s="137"/>
    </row>
    <row r="42" spans="2:9" s="71" customFormat="1" ht="75" customHeight="1">
      <c r="B42" s="132">
        <v>18</v>
      </c>
      <c r="C42" s="107" t="s">
        <v>113</v>
      </c>
      <c r="D42" s="138">
        <v>15</v>
      </c>
      <c r="E42" s="131">
        <v>13</v>
      </c>
      <c r="F42" s="158">
        <f>SUM(E42:E42)</f>
        <v>13</v>
      </c>
      <c r="G42" s="134">
        <f>มหาชัย!C27</f>
        <v>1</v>
      </c>
      <c r="H42" s="136"/>
    </row>
    <row r="43" spans="2:9" s="71" customFormat="1" ht="75" customHeight="1" thickBot="1">
      <c r="B43" s="124"/>
      <c r="C43" s="110" t="s">
        <v>126</v>
      </c>
      <c r="D43" s="139"/>
      <c r="E43" s="130" t="str">
        <f>IF(E42=0, "", IF(MOD(E42, $D$42) = 0, E42/ $D$42, IF(INT(E42 / $D$42) = 0, MOD(E42, $D$42) &amp; " P", INT(E42 / $D$42) &amp; " + " &amp; MOD(E42, $D$42) &amp; " P")))</f>
        <v>13 P</v>
      </c>
      <c r="F43" s="159"/>
      <c r="G43" s="135"/>
      <c r="H43" s="137"/>
    </row>
    <row r="44" spans="2:9" s="71" customFormat="1" ht="75" customHeight="1">
      <c r="B44" s="132">
        <v>19</v>
      </c>
      <c r="C44" s="107" t="s">
        <v>144</v>
      </c>
      <c r="D44" s="138">
        <v>8</v>
      </c>
      <c r="E44" s="131">
        <v>74</v>
      </c>
      <c r="F44" s="158">
        <f>SUM(E44:E44)</f>
        <v>74</v>
      </c>
      <c r="G44" s="134">
        <f>มหาชัย!C28</f>
        <v>10</v>
      </c>
      <c r="H44" s="136"/>
    </row>
    <row r="45" spans="2:9" s="71" customFormat="1" ht="75" customHeight="1" thickBot="1">
      <c r="B45" s="124"/>
      <c r="C45" s="110" t="s">
        <v>145</v>
      </c>
      <c r="D45" s="139"/>
      <c r="E45" s="130" t="str">
        <f>IF(E44=0, "", IF(MOD(E44, $D$44) = 0, E44/ $D$44, IF(INT(E44 / $D$44) = 0, MOD(E44, $D$44) &amp; " P", INT(E44 / $D$44) &amp; " + " &amp; MOD(E44, $D$44) &amp; " P")))</f>
        <v>9 + 2 P</v>
      </c>
      <c r="F45" s="159"/>
      <c r="G45" s="135"/>
      <c r="H45" s="137"/>
    </row>
    <row r="46" spans="2:9" s="67" customFormat="1" ht="102" customHeight="1" thickBot="1">
      <c r="B46" s="155" t="s">
        <v>88</v>
      </c>
      <c r="C46" s="156"/>
      <c r="D46" s="157"/>
      <c r="E46" s="77">
        <f>G46</f>
        <v>127</v>
      </c>
      <c r="F46" s="78" t="s">
        <v>90</v>
      </c>
      <c r="G46" s="79">
        <f>SUM(G8:G45)</f>
        <v>127</v>
      </c>
      <c r="H46" s="70"/>
      <c r="I46" s="69"/>
    </row>
    <row r="47" spans="2:9" ht="17.399999999999999" customHeight="1" thickBot="1">
      <c r="E47" s="80"/>
      <c r="F47" s="81"/>
      <c r="G47" s="82"/>
      <c r="H47" s="66"/>
      <c r="I47" s="66"/>
    </row>
    <row r="48" spans="2:9" ht="105" customHeight="1" thickBot="1">
      <c r="B48" s="146" t="s">
        <v>49</v>
      </c>
      <c r="C48" s="154"/>
      <c r="D48" s="147"/>
      <c r="E48" s="84" t="s">
        <v>53</v>
      </c>
      <c r="F48" s="146" t="s">
        <v>54</v>
      </c>
      <c r="G48" s="147"/>
      <c r="H48" s="84" t="s">
        <v>77</v>
      </c>
    </row>
    <row r="49" spans="2:8" ht="62.4" customHeight="1">
      <c r="B49" s="92" t="s">
        <v>78</v>
      </c>
      <c r="C49" s="152"/>
      <c r="D49" s="153"/>
      <c r="E49" s="93"/>
      <c r="F49" s="144"/>
      <c r="G49" s="145"/>
      <c r="H49" s="93"/>
    </row>
    <row r="50" spans="2:8" ht="62.4" customHeight="1">
      <c r="B50" s="94" t="s">
        <v>80</v>
      </c>
      <c r="C50" s="150"/>
      <c r="D50" s="151"/>
      <c r="E50" s="95"/>
      <c r="F50" s="142"/>
      <c r="G50" s="143"/>
      <c r="H50" s="95"/>
    </row>
    <row r="51" spans="2:8" ht="62.4" customHeight="1" thickBot="1">
      <c r="B51" s="96" t="s">
        <v>82</v>
      </c>
      <c r="C51" s="148"/>
      <c r="D51" s="149"/>
      <c r="E51" s="97"/>
      <c r="F51" s="140"/>
      <c r="G51" s="141"/>
      <c r="H51" s="97"/>
    </row>
    <row r="53" spans="2:8" ht="102.6" customHeight="1">
      <c r="C53" s="85"/>
      <c r="D53" s="86" t="s">
        <v>91</v>
      </c>
      <c r="E53" s="86"/>
      <c r="F53" s="76">
        <f>SUM(G46)</f>
        <v>127</v>
      </c>
      <c r="G53" s="87" t="s">
        <v>92</v>
      </c>
      <c r="H53" s="85"/>
    </row>
    <row r="54" spans="2:8" ht="55.95" customHeight="1" thickBot="1">
      <c r="C54" s="85"/>
      <c r="D54" s="85"/>
      <c r="E54" s="86"/>
      <c r="F54" s="86" t="s">
        <v>79</v>
      </c>
      <c r="G54" s="86"/>
      <c r="H54" s="85"/>
    </row>
    <row r="55" spans="2:8" ht="55.95" customHeight="1" thickBot="1">
      <c r="C55" s="88"/>
      <c r="D55" s="85"/>
      <c r="E55" s="85"/>
      <c r="F55" s="89" t="s">
        <v>81</v>
      </c>
      <c r="G55" s="89" t="s">
        <v>59</v>
      </c>
      <c r="H55" s="85"/>
    </row>
    <row r="56" spans="2:8" ht="55.95" customHeight="1" thickBot="1">
      <c r="C56" s="88"/>
      <c r="D56" s="85"/>
      <c r="E56" s="85"/>
      <c r="F56" s="89"/>
      <c r="G56" s="89"/>
      <c r="H56" s="85"/>
    </row>
    <row r="57" spans="2:8" ht="108.6" customHeight="1" thickBot="1">
      <c r="C57" s="85"/>
      <c r="D57" s="85"/>
      <c r="E57" s="90" t="s">
        <v>83</v>
      </c>
      <c r="F57" s="91"/>
      <c r="G57" s="91"/>
      <c r="H57" s="85"/>
    </row>
    <row r="58" spans="2:8" ht="87.6" customHeight="1">
      <c r="C58" s="74"/>
      <c r="D58" s="74"/>
      <c r="E58" s="74"/>
      <c r="F58" s="75"/>
      <c r="G58" s="75"/>
      <c r="H58" s="67"/>
    </row>
    <row r="59" spans="2:8" ht="15" customHeight="1">
      <c r="E59" s="67"/>
      <c r="F59" s="67"/>
      <c r="G59" s="67"/>
      <c r="H59" s="67"/>
    </row>
    <row r="75" spans="3:3" ht="15" customHeight="1">
      <c r="C75" s="64"/>
    </row>
    <row r="76" spans="3:3" ht="15" customHeight="1">
      <c r="C76" s="64"/>
    </row>
    <row r="77" spans="3:3" ht="15" customHeight="1">
      <c r="C77" s="64"/>
    </row>
    <row r="78" spans="3:3" ht="15" customHeight="1">
      <c r="C78" s="64"/>
    </row>
    <row r="79" spans="3:3" ht="15" customHeight="1">
      <c r="C79" s="64"/>
    </row>
    <row r="80" spans="3:3" ht="15" customHeight="1">
      <c r="C80" s="64"/>
    </row>
    <row r="81" spans="3:3" ht="15" customHeight="1">
      <c r="C81" s="64"/>
    </row>
    <row r="82" spans="3:3" ht="15" customHeight="1">
      <c r="C82" s="64"/>
    </row>
    <row r="83" spans="3:3" ht="15" customHeight="1">
      <c r="C83" s="64"/>
    </row>
    <row r="84" spans="3:3" ht="15" customHeight="1">
      <c r="C84" s="64"/>
    </row>
    <row r="85" spans="3:3" ht="15" customHeight="1">
      <c r="C85" s="64"/>
    </row>
    <row r="86" spans="3:3" ht="15" customHeight="1">
      <c r="C86" s="64"/>
    </row>
    <row r="87" spans="3:3" ht="15" customHeight="1">
      <c r="C87" s="64"/>
    </row>
    <row r="88" spans="3:3" ht="15" customHeight="1">
      <c r="C88" s="64"/>
    </row>
    <row r="89" spans="3:3" ht="15" customHeight="1">
      <c r="C89" s="64"/>
    </row>
    <row r="90" spans="3:3" ht="15" customHeight="1">
      <c r="C90" s="64"/>
    </row>
    <row r="91" spans="3:3" ht="15" customHeight="1">
      <c r="C91" s="64"/>
    </row>
    <row r="92" spans="3:3" ht="15" customHeight="1">
      <c r="C92" s="64"/>
    </row>
    <row r="93" spans="3:3" ht="15" customHeight="1">
      <c r="C93" s="64"/>
    </row>
    <row r="94" spans="3:3" ht="15" customHeight="1">
      <c r="C94" s="64"/>
    </row>
    <row r="95" spans="3:3" ht="15" customHeight="1">
      <c r="C95" s="64"/>
    </row>
    <row r="96" spans="3:3" ht="15" customHeight="1">
      <c r="C96" s="64"/>
    </row>
    <row r="97" spans="3:3" ht="15" customHeight="1">
      <c r="C97" s="64"/>
    </row>
    <row r="98" spans="3:3" ht="15" customHeight="1">
      <c r="C98" s="64"/>
    </row>
    <row r="99" spans="3:3" ht="15" customHeight="1">
      <c r="C99" s="64"/>
    </row>
    <row r="100" spans="3:3" ht="15" customHeight="1">
      <c r="C100" s="64"/>
    </row>
    <row r="101" spans="3:3" ht="15" customHeight="1">
      <c r="C101" s="64"/>
    </row>
    <row r="102" spans="3:3" ht="15" customHeight="1">
      <c r="C102" s="64"/>
    </row>
    <row r="103" spans="3:3" ht="15" customHeight="1">
      <c r="C103" s="64"/>
    </row>
    <row r="104" spans="3:3" ht="15" customHeight="1">
      <c r="C104" s="64"/>
    </row>
    <row r="105" spans="3:3" ht="15" customHeight="1">
      <c r="C105" s="64"/>
    </row>
    <row r="106" spans="3:3" ht="15" customHeight="1">
      <c r="C106" s="64"/>
    </row>
    <row r="107" spans="3:3" ht="15" customHeight="1">
      <c r="C107" s="64"/>
    </row>
    <row r="108" spans="3:3" ht="15" customHeight="1">
      <c r="C108" s="64"/>
    </row>
    <row r="109" spans="3:3" ht="15" customHeight="1">
      <c r="C109" s="64"/>
    </row>
    <row r="110" spans="3:3" ht="15" customHeight="1">
      <c r="C110" s="64"/>
    </row>
    <row r="111" spans="3:3" ht="15" customHeight="1">
      <c r="C111" s="64"/>
    </row>
    <row r="112" spans="3:3" ht="15" customHeight="1">
      <c r="C112" s="64"/>
    </row>
    <row r="113" spans="3:3" ht="15" customHeight="1">
      <c r="C113" s="64"/>
    </row>
    <row r="114" spans="3:3" ht="15" customHeight="1">
      <c r="C114" s="64"/>
    </row>
    <row r="115" spans="3:3" ht="15" customHeight="1">
      <c r="C115" s="64"/>
    </row>
    <row r="116" spans="3:3" ht="15" customHeight="1">
      <c r="C116" s="64"/>
    </row>
    <row r="117" spans="3:3" ht="15" customHeight="1">
      <c r="C117" s="64"/>
    </row>
    <row r="118" spans="3:3" ht="15" customHeight="1">
      <c r="C118" s="64"/>
    </row>
    <row r="119" spans="3:3" ht="15" customHeight="1">
      <c r="C119" s="64"/>
    </row>
    <row r="120" spans="3:3" ht="15" customHeight="1">
      <c r="C120" s="64"/>
    </row>
    <row r="121" spans="3:3" ht="15" customHeight="1">
      <c r="C121" s="64"/>
    </row>
    <row r="122" spans="3:3" ht="15" customHeight="1">
      <c r="C122" s="64"/>
    </row>
    <row r="123" spans="3:3" ht="15" customHeight="1">
      <c r="C123" s="64"/>
    </row>
    <row r="124" spans="3:3" ht="15" customHeight="1">
      <c r="C124" s="64"/>
    </row>
    <row r="125" spans="3:3" ht="15" customHeight="1">
      <c r="C125" s="64"/>
    </row>
    <row r="126" spans="3:3" ht="15" customHeight="1">
      <c r="C126" s="64"/>
    </row>
    <row r="127" spans="3:3" ht="15" customHeight="1">
      <c r="C127" s="64"/>
    </row>
    <row r="128" spans="3:3" ht="15" customHeight="1">
      <c r="C128" s="64"/>
    </row>
    <row r="129" spans="3:3" ht="15" customHeight="1">
      <c r="C129" s="64"/>
    </row>
    <row r="130" spans="3:3" ht="15" customHeight="1">
      <c r="C130" s="64"/>
    </row>
    <row r="131" spans="3:3" ht="15" customHeight="1">
      <c r="C131" s="64"/>
    </row>
    <row r="132" spans="3:3" ht="15" customHeight="1">
      <c r="C132" s="64"/>
    </row>
    <row r="133" spans="3:3" ht="15" customHeight="1">
      <c r="C133" s="64"/>
    </row>
    <row r="134" spans="3:3" ht="15" customHeight="1">
      <c r="C134" s="64"/>
    </row>
    <row r="135" spans="3:3" ht="15" customHeight="1">
      <c r="C135" s="64"/>
    </row>
    <row r="136" spans="3:3" ht="15" customHeight="1">
      <c r="C136" s="64"/>
    </row>
  </sheetData>
  <mergeCells count="95">
    <mergeCell ref="D44:D45"/>
    <mergeCell ref="F44:F45"/>
    <mergeCell ref="G44:G45"/>
    <mergeCell ref="H44:H45"/>
    <mergeCell ref="H16:H17"/>
    <mergeCell ref="D14:D15"/>
    <mergeCell ref="F14:F15"/>
    <mergeCell ref="G14:G15"/>
    <mergeCell ref="H14:H15"/>
    <mergeCell ref="H20:H21"/>
    <mergeCell ref="H28:H29"/>
    <mergeCell ref="G28:G29"/>
    <mergeCell ref="H26:H27"/>
    <mergeCell ref="F26:F27"/>
    <mergeCell ref="H22:H23"/>
    <mergeCell ref="H24:H25"/>
    <mergeCell ref="G22:G23"/>
    <mergeCell ref="F22:F23"/>
    <mergeCell ref="F24:F25"/>
    <mergeCell ref="G26:G27"/>
    <mergeCell ref="G24:G25"/>
    <mergeCell ref="H30:H31"/>
    <mergeCell ref="H34:H35"/>
    <mergeCell ref="F36:F37"/>
    <mergeCell ref="G36:G37"/>
    <mergeCell ref="H36:H37"/>
    <mergeCell ref="G30:G31"/>
    <mergeCell ref="F34:F35"/>
    <mergeCell ref="G34:G35"/>
    <mergeCell ref="F32:F33"/>
    <mergeCell ref="G32:G33"/>
    <mergeCell ref="F30:F31"/>
    <mergeCell ref="H32:H33"/>
    <mergeCell ref="B4:C4"/>
    <mergeCell ref="D22:D23"/>
    <mergeCell ref="D24:D25"/>
    <mergeCell ref="D26:D27"/>
    <mergeCell ref="D28:D29"/>
    <mergeCell ref="B5:C7"/>
    <mergeCell ref="D5:D7"/>
    <mergeCell ref="D8:D9"/>
    <mergeCell ref="B12:B13"/>
    <mergeCell ref="B8:B9"/>
    <mergeCell ref="B10:B11"/>
    <mergeCell ref="D18:D19"/>
    <mergeCell ref="D20:D21"/>
    <mergeCell ref="D16:D17"/>
    <mergeCell ref="F12:F13"/>
    <mergeCell ref="F18:F19"/>
    <mergeCell ref="G12:G13"/>
    <mergeCell ref="G18:G19"/>
    <mergeCell ref="D40:D41"/>
    <mergeCell ref="F28:F29"/>
    <mergeCell ref="D38:D39"/>
    <mergeCell ref="F38:F39"/>
    <mergeCell ref="D30:D31"/>
    <mergeCell ref="D36:D37"/>
    <mergeCell ref="D34:D35"/>
    <mergeCell ref="D32:D33"/>
    <mergeCell ref="F20:F21"/>
    <mergeCell ref="G20:G21"/>
    <mergeCell ref="F16:F17"/>
    <mergeCell ref="G16:G17"/>
    <mergeCell ref="H42:H43"/>
    <mergeCell ref="H40:H41"/>
    <mergeCell ref="D4:H4"/>
    <mergeCell ref="H5:H7"/>
    <mergeCell ref="H8:H9"/>
    <mergeCell ref="H10:H11"/>
    <mergeCell ref="G8:G9"/>
    <mergeCell ref="E5:E7"/>
    <mergeCell ref="F5:G6"/>
    <mergeCell ref="G10:G11"/>
    <mergeCell ref="F10:F11"/>
    <mergeCell ref="F8:F9"/>
    <mergeCell ref="D10:D11"/>
    <mergeCell ref="D12:D13"/>
    <mergeCell ref="H12:H13"/>
    <mergeCell ref="H18:H19"/>
    <mergeCell ref="G38:G39"/>
    <mergeCell ref="H38:H39"/>
    <mergeCell ref="D42:D43"/>
    <mergeCell ref="F51:G51"/>
    <mergeCell ref="F50:G50"/>
    <mergeCell ref="F49:G49"/>
    <mergeCell ref="F48:G48"/>
    <mergeCell ref="C51:D51"/>
    <mergeCell ref="C50:D50"/>
    <mergeCell ref="C49:D49"/>
    <mergeCell ref="B48:D48"/>
    <mergeCell ref="B46:D46"/>
    <mergeCell ref="F40:F41"/>
    <mergeCell ref="G40:G41"/>
    <mergeCell ref="G42:G43"/>
    <mergeCell ref="F42:F43"/>
  </mergeCells>
  <printOptions horizontalCentered="1"/>
  <pageMargins left="0" right="0" top="0.19685039370078741" bottom="0" header="0" footer="0"/>
  <pageSetup paperSize="9" scale="20" fitToHeight="0" orientation="portrait" r:id="rId1"/>
  <ignoredErrors>
    <ignoredError sqref="F8 F18 F12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V51"/>
  <sheetViews>
    <sheetView topLeftCell="A22" zoomScale="110" zoomScaleNormal="110" workbookViewId="0">
      <selection activeCell="A30" sqref="A30:C30"/>
    </sheetView>
  </sheetViews>
  <sheetFormatPr defaultColWidth="8.8984375" defaultRowHeight="15" customHeight="1"/>
  <cols>
    <col min="1" max="1" width="35.69921875" style="3" customWidth="1"/>
    <col min="2" max="3" width="11.59765625" style="3" customWidth="1"/>
    <col min="4" max="4" width="7.19921875" style="3" customWidth="1"/>
    <col min="5" max="13" width="5.69921875" style="3" customWidth="1"/>
    <col min="14" max="14" width="20.09765625" style="3" hidden="1" customWidth="1"/>
    <col min="15" max="16" width="10.69921875" style="3" customWidth="1"/>
    <col min="17" max="17" width="15.69921875" style="3" customWidth="1"/>
    <col min="18" max="47" width="3.69921875" style="3" hidden="1" customWidth="1"/>
    <col min="48" max="16384" width="8.8984375" style="3"/>
  </cols>
  <sheetData>
    <row r="1" spans="1:48" ht="49.95" customHeight="1">
      <c r="A1" s="3" t="e" vm="1">
        <v>#VALUE!</v>
      </c>
      <c r="B1" s="206" t="s">
        <v>71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O1" s="207" t="s">
        <v>18</v>
      </c>
      <c r="P1" s="207"/>
      <c r="Q1" s="207"/>
    </row>
    <row r="2" spans="1:48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4"/>
      <c r="P2" s="4"/>
      <c r="Q2" s="4"/>
    </row>
    <row r="3" spans="1:48" ht="15" customHeight="1">
      <c r="A3" s="62"/>
      <c r="B3" s="1"/>
      <c r="C3" s="1"/>
      <c r="D3" s="9"/>
      <c r="O3" s="207" t="s">
        <v>17</v>
      </c>
      <c r="P3" s="207"/>
      <c r="Q3" s="207"/>
    </row>
    <row r="4" spans="1:48" ht="25.2" customHeight="1">
      <c r="A4" s="63" t="s">
        <v>24</v>
      </c>
      <c r="B4" s="1"/>
      <c r="C4" s="1"/>
      <c r="O4" s="207"/>
      <c r="P4" s="207"/>
      <c r="Q4" s="207"/>
    </row>
    <row r="5" spans="1:48" ht="4.95" customHeight="1">
      <c r="A5" s="63"/>
      <c r="B5" s="1"/>
      <c r="C5" s="1"/>
      <c r="O5" s="4"/>
      <c r="P5" s="4"/>
      <c r="Q5" s="4"/>
    </row>
    <row r="6" spans="1:48" ht="25.2" customHeight="1">
      <c r="A6" s="208" t="s">
        <v>21</v>
      </c>
      <c r="B6" s="208"/>
      <c r="C6" s="210" t="s">
        <v>22</v>
      </c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</row>
    <row r="7" spans="1:48" ht="19.95" customHeight="1">
      <c r="A7" s="208"/>
      <c r="B7" s="208"/>
      <c r="C7" s="204" t="s">
        <v>33</v>
      </c>
      <c r="D7" s="185" t="s">
        <v>34</v>
      </c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7"/>
    </row>
    <row r="8" spans="1:48" ht="15" customHeight="1">
      <c r="A8" s="209"/>
      <c r="B8" s="208"/>
      <c r="C8" s="205"/>
      <c r="D8" s="190" t="s">
        <v>0</v>
      </c>
      <c r="E8" s="190" t="s">
        <v>1</v>
      </c>
      <c r="F8" s="190" t="s">
        <v>25</v>
      </c>
      <c r="G8" s="190" t="s">
        <v>26</v>
      </c>
      <c r="H8" s="190" t="s">
        <v>27</v>
      </c>
      <c r="I8" s="190" t="s">
        <v>28</v>
      </c>
      <c r="J8" s="190" t="s">
        <v>29</v>
      </c>
      <c r="K8" s="190" t="s">
        <v>30</v>
      </c>
      <c r="L8" s="190" t="s">
        <v>31</v>
      </c>
      <c r="M8" s="190" t="s">
        <v>32</v>
      </c>
      <c r="N8" s="10"/>
      <c r="O8" s="190" t="s">
        <v>35</v>
      </c>
      <c r="P8" s="190" t="s">
        <v>36</v>
      </c>
      <c r="Q8" s="190" t="s">
        <v>37</v>
      </c>
      <c r="R8" s="200" t="s">
        <v>4</v>
      </c>
      <c r="S8" s="200"/>
      <c r="T8" s="200"/>
      <c r="U8" s="200" t="s">
        <v>5</v>
      </c>
      <c r="V8" s="200"/>
      <c r="W8" s="200"/>
      <c r="X8" s="200" t="s">
        <v>7</v>
      </c>
      <c r="Y8" s="200"/>
      <c r="Z8" s="200"/>
      <c r="AA8" s="200" t="s">
        <v>8</v>
      </c>
      <c r="AB8" s="200"/>
      <c r="AC8" s="200"/>
      <c r="AD8" s="200" t="s">
        <v>9</v>
      </c>
      <c r="AE8" s="200"/>
      <c r="AF8" s="200"/>
      <c r="AG8" s="200" t="s">
        <v>10</v>
      </c>
      <c r="AH8" s="200"/>
      <c r="AI8" s="200"/>
      <c r="AJ8" s="200" t="s">
        <v>11</v>
      </c>
      <c r="AK8" s="200"/>
      <c r="AL8" s="200"/>
      <c r="AM8" s="200" t="s">
        <v>12</v>
      </c>
      <c r="AN8" s="200"/>
      <c r="AO8" s="200"/>
      <c r="AP8" s="200" t="s">
        <v>13</v>
      </c>
      <c r="AQ8" s="200"/>
      <c r="AR8" s="200"/>
      <c r="AS8" s="200" t="s">
        <v>14</v>
      </c>
      <c r="AT8" s="200"/>
      <c r="AU8" s="200"/>
    </row>
    <row r="9" spans="1:48" ht="25.2" customHeight="1">
      <c r="A9" s="113" t="s">
        <v>38</v>
      </c>
      <c r="B9" s="68" t="s">
        <v>39</v>
      </c>
      <c r="C9" s="205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98" t="s">
        <v>3</v>
      </c>
      <c r="O9" s="191"/>
      <c r="P9" s="191"/>
      <c r="Q9" s="191"/>
      <c r="R9" s="2" t="s">
        <v>2</v>
      </c>
      <c r="S9" s="6" t="s">
        <v>6</v>
      </c>
      <c r="T9" s="7" t="s">
        <v>23</v>
      </c>
      <c r="U9" s="2" t="s">
        <v>2</v>
      </c>
      <c r="V9" s="6" t="s">
        <v>6</v>
      </c>
      <c r="W9" s="7" t="s">
        <v>23</v>
      </c>
      <c r="X9" s="2" t="s">
        <v>2</v>
      </c>
      <c r="Y9" s="6" t="s">
        <v>6</v>
      </c>
      <c r="Z9" s="7" t="s">
        <v>23</v>
      </c>
      <c r="AA9" s="2" t="s">
        <v>2</v>
      </c>
      <c r="AB9" s="6" t="s">
        <v>6</v>
      </c>
      <c r="AC9" s="7" t="s">
        <v>23</v>
      </c>
      <c r="AD9" s="2" t="s">
        <v>2</v>
      </c>
      <c r="AE9" s="6" t="s">
        <v>6</v>
      </c>
      <c r="AF9" s="7" t="s">
        <v>23</v>
      </c>
      <c r="AG9" s="2" t="s">
        <v>2</v>
      </c>
      <c r="AH9" s="6" t="s">
        <v>6</v>
      </c>
      <c r="AI9" s="7" t="s">
        <v>23</v>
      </c>
      <c r="AJ9" s="2" t="s">
        <v>2</v>
      </c>
      <c r="AK9" s="6" t="s">
        <v>6</v>
      </c>
      <c r="AL9" s="7" t="s">
        <v>23</v>
      </c>
      <c r="AM9" s="2" t="s">
        <v>2</v>
      </c>
      <c r="AN9" s="6" t="s">
        <v>6</v>
      </c>
      <c r="AO9" s="7" t="s">
        <v>23</v>
      </c>
      <c r="AP9" s="2" t="s">
        <v>2</v>
      </c>
      <c r="AQ9" s="6" t="s">
        <v>6</v>
      </c>
      <c r="AR9" s="7" t="s">
        <v>23</v>
      </c>
      <c r="AS9" s="2" t="s">
        <v>2</v>
      </c>
      <c r="AT9" s="6" t="s">
        <v>6</v>
      </c>
      <c r="AU9" s="7" t="s">
        <v>23</v>
      </c>
    </row>
    <row r="10" spans="1:48" ht="19.95" customHeight="1">
      <c r="A10" s="114" t="s">
        <v>115</v>
      </c>
      <c r="B10" s="112">
        <v>36</v>
      </c>
      <c r="C10" s="83">
        <f>SUMPRODUCT(ROUNDUP(D10/B10,0))</f>
        <v>5</v>
      </c>
      <c r="D10" s="83">
        <f>'มหาชัย-ผลิต'!E8</f>
        <v>171</v>
      </c>
      <c r="E10" s="83"/>
      <c r="F10" s="100"/>
      <c r="G10" s="100"/>
      <c r="H10" s="100"/>
      <c r="I10" s="100"/>
      <c r="J10" s="100"/>
      <c r="K10" s="100"/>
      <c r="L10" s="100"/>
      <c r="M10" s="100"/>
      <c r="N10" s="100">
        <f>'มหาชัย-ผลิต'!F8</f>
        <v>171</v>
      </c>
      <c r="O10" s="100"/>
      <c r="P10" s="100"/>
      <c r="Q10" s="100"/>
      <c r="R10" s="102">
        <f t="shared" ref="R10:R23" si="0">INT(D10/B10)</f>
        <v>4</v>
      </c>
      <c r="S10" s="103">
        <f t="shared" ref="S10:S23" si="1">IF(MOD(D10,B10)/B10&gt;0.5,1,0)</f>
        <v>1</v>
      </c>
      <c r="T10" s="104">
        <f t="shared" ref="T10:T23" si="2">IF(AND(MOD(D10,B10)/B10&lt;=0.5,MOD(D10,B10)&lt;&gt;0),1,0)</f>
        <v>0</v>
      </c>
      <c r="U10" s="102">
        <f>INT(E10/B10)</f>
        <v>0</v>
      </c>
      <c r="V10" s="103">
        <f>IF(MOD(E10,B10)/B10&gt;0.5,1,0)</f>
        <v>0</v>
      </c>
      <c r="W10" s="104">
        <f>IF(AND(MOD(E10,B10)/B10&lt;=0.5,MOD(E10,B10)&lt;&gt;0),1,0)</f>
        <v>0</v>
      </c>
      <c r="X10" s="102">
        <f t="shared" ref="X10:X24" si="3">INT(F10/B10)</f>
        <v>0</v>
      </c>
      <c r="Y10" s="103">
        <f t="shared" ref="Y10:Y24" si="4">IF(MOD(F10,B10)/B10&gt;0.5,1,0)</f>
        <v>0</v>
      </c>
      <c r="Z10" s="104">
        <f t="shared" ref="Z10:Z24" si="5">IF(AND(MOD(F10,B10)/B10&lt;=0.5,MOD(F10,B10)&lt;&gt;0),1,0)</f>
        <v>0</v>
      </c>
      <c r="AA10" s="102">
        <f>INT(G10/B10)</f>
        <v>0</v>
      </c>
      <c r="AB10" s="103">
        <f>IF(MOD(G10,B10)/B10&gt;0.5,1,0)</f>
        <v>0</v>
      </c>
      <c r="AC10" s="104">
        <f>IF(AND(MOD(G10,B10)/B10&lt;=0.5,MOD(G10,B10)&lt;&gt;0),1,0)</f>
        <v>0</v>
      </c>
      <c r="AD10" s="102">
        <f>INT(H10/B10)</f>
        <v>0</v>
      </c>
      <c r="AE10" s="103">
        <f>IF(MOD(H10,B10)/B10&gt;0.5,1,0)</f>
        <v>0</v>
      </c>
      <c r="AF10" s="104">
        <f>IF(AND(MOD(H10,B10)/B10&lt;=0.5,MOD(H10,B10)&lt;&gt;0),1,0)</f>
        <v>0</v>
      </c>
      <c r="AG10" s="102">
        <f>INT(I10/B10)</f>
        <v>0</v>
      </c>
      <c r="AH10" s="103">
        <f>IF(MOD(I10,B10)/B10&gt;0.5,1,0)</f>
        <v>0</v>
      </c>
      <c r="AI10" s="104">
        <f>IF(AND(MOD(I10,B10)/B10&lt;=0.5,MOD(I10,B10)&lt;&gt;0),1,0)</f>
        <v>0</v>
      </c>
      <c r="AJ10" s="102">
        <f>INT(J10/B10)</f>
        <v>0</v>
      </c>
      <c r="AK10" s="103">
        <f>IF(MOD(J10,B10)/B10&gt;0.5,1,0)</f>
        <v>0</v>
      </c>
      <c r="AL10" s="104">
        <f>IF(AND(MOD(J10,B10)/B10&lt;=0.5,MOD(J10,B10)&lt;&gt;0),1,0)</f>
        <v>0</v>
      </c>
      <c r="AM10" s="102">
        <f>INT(K10/B10)</f>
        <v>0</v>
      </c>
      <c r="AN10" s="103">
        <f>IF(MOD(K10,B10)/B10&gt;0.5,1,0)</f>
        <v>0</v>
      </c>
      <c r="AO10" s="104">
        <f>IF(AND(MOD(K10,B10)/B10&lt;=0.5,MOD(K10,B10)&lt;&gt;0),1,0)</f>
        <v>0</v>
      </c>
      <c r="AP10" s="102">
        <f>INT(L10/B10)</f>
        <v>0</v>
      </c>
      <c r="AQ10" s="103">
        <f>IF(MOD(L10,B10)/B10&gt;0.5,1,0)</f>
        <v>0</v>
      </c>
      <c r="AR10" s="104">
        <f>IF(AND(MOD(L10,B10)/B10&lt;=0.5,MOD(L10,B10)&lt;&gt;0),1,0)</f>
        <v>0</v>
      </c>
      <c r="AS10" s="102">
        <f>INT(M10/B10)</f>
        <v>0</v>
      </c>
      <c r="AT10" s="103">
        <f>IF(MOD(M10,B10)/B10&gt;0.5,1,0)</f>
        <v>0</v>
      </c>
      <c r="AU10" s="104">
        <f>IF(AND(MOD(M10,B10)/B10&lt;=0.5,MOD(M10,B10)&lt;&gt;0),1,0)</f>
        <v>0</v>
      </c>
      <c r="AV10" s="100"/>
    </row>
    <row r="11" spans="1:48" ht="19.95" customHeight="1">
      <c r="A11" s="114" t="s">
        <v>61</v>
      </c>
      <c r="B11" s="112">
        <v>32</v>
      </c>
      <c r="C11" s="83">
        <f t="shared" ref="C11:C17" si="6">SUMPRODUCT(ROUNDUP(D11/B11,0))</f>
        <v>12</v>
      </c>
      <c r="D11" s="83">
        <f>'มหาชัย-ผลิต'!E10</f>
        <v>384</v>
      </c>
      <c r="E11" s="83"/>
      <c r="F11" s="100"/>
      <c r="G11" s="100"/>
      <c r="H11" s="100"/>
      <c r="I11" s="100"/>
      <c r="J11" s="100"/>
      <c r="K11" s="100"/>
      <c r="L11" s="100"/>
      <c r="M11" s="100"/>
      <c r="N11" s="100" t="str">
        <f t="shared" ref="N11:N18" si="7">INT(SUM(D11:M11)/B11) &amp; " full, " &amp; IF(MOD(SUM(D11:M11), B11)/B11 &lt;= 0.5, "1 less than half", IF(MOD(SUM(D11:M11), B11)/B11 &gt; 0.5, "1 more than half", ""))</f>
        <v>12 full, 1 less than half</v>
      </c>
      <c r="O11" s="100"/>
      <c r="P11" s="100"/>
      <c r="Q11" s="100"/>
      <c r="R11" s="102">
        <f t="shared" si="0"/>
        <v>12</v>
      </c>
      <c r="S11" s="103">
        <f t="shared" si="1"/>
        <v>0</v>
      </c>
      <c r="T11" s="104">
        <f t="shared" si="2"/>
        <v>0</v>
      </c>
      <c r="U11" s="102">
        <f t="shared" ref="U11:U24" si="8">INT(E11/B11)</f>
        <v>0</v>
      </c>
      <c r="V11" s="103">
        <f t="shared" ref="V11:V24" si="9">IF(MOD(E11,B11)/B11&gt;0.5,1,0)</f>
        <v>0</v>
      </c>
      <c r="W11" s="104">
        <f t="shared" ref="W11:W24" si="10">IF(AND(MOD(E11,B11)/B11&lt;=0.5,MOD(E11,B11)&lt;&gt;0),1,0)</f>
        <v>0</v>
      </c>
      <c r="X11" s="102">
        <f t="shared" si="3"/>
        <v>0</v>
      </c>
      <c r="Y11" s="103">
        <f t="shared" si="4"/>
        <v>0</v>
      </c>
      <c r="Z11" s="104">
        <f t="shared" si="5"/>
        <v>0</v>
      </c>
      <c r="AA11" s="102">
        <f t="shared" ref="AA11:AA24" si="11">INT(G11/B11)</f>
        <v>0</v>
      </c>
      <c r="AB11" s="103">
        <f t="shared" ref="AB11:AB24" si="12">IF(MOD(G11,B11)/B11&gt;0.5,1,0)</f>
        <v>0</v>
      </c>
      <c r="AC11" s="104">
        <f t="shared" ref="AC11:AC24" si="13">IF(AND(MOD(G11,B11)/B11&lt;=0.5,MOD(G11,B11)&lt;&gt;0),1,0)</f>
        <v>0</v>
      </c>
      <c r="AD11" s="102">
        <f t="shared" ref="AD11:AD24" si="14">INT(H11/B11)</f>
        <v>0</v>
      </c>
      <c r="AE11" s="103">
        <f t="shared" ref="AE11:AE24" si="15">IF(MOD(H11,B11)/B11&gt;0.5,1,0)</f>
        <v>0</v>
      </c>
      <c r="AF11" s="104">
        <f t="shared" ref="AF11:AF24" si="16">IF(AND(MOD(H11,B11)/B11&lt;=0.5,MOD(H11,B11)&lt;&gt;0),1,0)</f>
        <v>0</v>
      </c>
      <c r="AG11" s="102">
        <f t="shared" ref="AG11:AG24" si="17">INT(I11/B11)</f>
        <v>0</v>
      </c>
      <c r="AH11" s="103">
        <f t="shared" ref="AH11:AH24" si="18">IF(MOD(I11,B11)/B11&gt;0.5,1,0)</f>
        <v>0</v>
      </c>
      <c r="AI11" s="104">
        <f t="shared" ref="AI11:AI24" si="19">IF(AND(MOD(I11,B11)/B11&lt;=0.5,MOD(I11,B11)&lt;&gt;0),1,0)</f>
        <v>0</v>
      </c>
      <c r="AJ11" s="102">
        <f t="shared" ref="AJ11:AJ24" si="20">INT(J11/B11)</f>
        <v>0</v>
      </c>
      <c r="AK11" s="103">
        <f t="shared" ref="AK11:AK24" si="21">IF(MOD(J11,B11)/B11&gt;0.5,1,0)</f>
        <v>0</v>
      </c>
      <c r="AL11" s="104">
        <f t="shared" ref="AL11:AL24" si="22">IF(AND(MOD(J11,B11)/B11&lt;=0.5,MOD(J11,B11)&lt;&gt;0),1,0)</f>
        <v>0</v>
      </c>
      <c r="AM11" s="102">
        <f t="shared" ref="AM11:AM24" si="23">INT(K11/B11)</f>
        <v>0</v>
      </c>
      <c r="AN11" s="103">
        <f t="shared" ref="AN11:AN24" si="24">IF(MOD(K11,B11)/B11&gt;0.5,1,0)</f>
        <v>0</v>
      </c>
      <c r="AO11" s="104">
        <f t="shared" ref="AO11:AO24" si="25">IF(AND(MOD(K11,B11)/B11&lt;=0.5,MOD(K11,B11)&lt;&gt;0),1,0)</f>
        <v>0</v>
      </c>
      <c r="AP11" s="102">
        <f t="shared" ref="AP11:AP24" si="26">INT(L11/B11)</f>
        <v>0</v>
      </c>
      <c r="AQ11" s="103">
        <f t="shared" ref="AQ11:AQ24" si="27">IF(MOD(L11,B11)/B11&gt;0.5,1,0)</f>
        <v>0</v>
      </c>
      <c r="AR11" s="104">
        <f t="shared" ref="AR11:AR24" si="28">IF(AND(MOD(L11,B11)/B11&lt;=0.5,MOD(L11,B11)&lt;&gt;0),1,0)</f>
        <v>0</v>
      </c>
      <c r="AS11" s="102">
        <f t="shared" ref="AS11:AS24" si="29">INT(M11/B11)</f>
        <v>0</v>
      </c>
      <c r="AT11" s="103">
        <f t="shared" ref="AT11:AT24" si="30">IF(MOD(M11,B11)/B11&gt;0.5,1,0)</f>
        <v>0</v>
      </c>
      <c r="AU11" s="104">
        <f t="shared" ref="AU11:AU24" si="31">IF(AND(MOD(M11,B11)/B11&lt;=0.5,MOD(M11,B11)&lt;&gt;0),1,0)</f>
        <v>0</v>
      </c>
      <c r="AV11" s="100"/>
    </row>
    <row r="12" spans="1:48" ht="19.95" customHeight="1">
      <c r="A12" s="114" t="s">
        <v>127</v>
      </c>
      <c r="B12" s="112">
        <v>36</v>
      </c>
      <c r="C12" s="83">
        <f>SUMPRODUCT(ROUNDUP(D12/B12,0))</f>
        <v>5</v>
      </c>
      <c r="D12" s="83">
        <f>'มหาชัย-ผลิต'!E12</f>
        <v>154</v>
      </c>
      <c r="E12" s="83"/>
      <c r="F12" s="100"/>
      <c r="G12" s="100"/>
      <c r="H12" s="100"/>
      <c r="I12" s="100"/>
      <c r="J12" s="100"/>
      <c r="K12" s="100"/>
      <c r="L12" s="100"/>
      <c r="M12" s="100"/>
      <c r="N12" s="100" t="str">
        <f t="shared" si="7"/>
        <v>4 full, 1 less than half</v>
      </c>
      <c r="O12" s="100"/>
      <c r="P12" s="100"/>
      <c r="Q12" s="100"/>
      <c r="R12" s="102">
        <f t="shared" si="0"/>
        <v>4</v>
      </c>
      <c r="S12" s="103">
        <f t="shared" si="1"/>
        <v>0</v>
      </c>
      <c r="T12" s="104">
        <f t="shared" si="2"/>
        <v>1</v>
      </c>
      <c r="U12" s="102">
        <f t="shared" si="8"/>
        <v>0</v>
      </c>
      <c r="V12" s="103">
        <f t="shared" si="9"/>
        <v>0</v>
      </c>
      <c r="W12" s="104">
        <f t="shared" si="10"/>
        <v>0</v>
      </c>
      <c r="X12" s="102">
        <f t="shared" si="3"/>
        <v>0</v>
      </c>
      <c r="Y12" s="103">
        <f t="shared" si="4"/>
        <v>0</v>
      </c>
      <c r="Z12" s="104">
        <f t="shared" si="5"/>
        <v>0</v>
      </c>
      <c r="AA12" s="102">
        <f t="shared" si="11"/>
        <v>0</v>
      </c>
      <c r="AB12" s="103">
        <f t="shared" si="12"/>
        <v>0</v>
      </c>
      <c r="AC12" s="104">
        <f t="shared" si="13"/>
        <v>0</v>
      </c>
      <c r="AD12" s="102">
        <f t="shared" si="14"/>
        <v>0</v>
      </c>
      <c r="AE12" s="103">
        <f t="shared" si="15"/>
        <v>0</v>
      </c>
      <c r="AF12" s="104">
        <f t="shared" si="16"/>
        <v>0</v>
      </c>
      <c r="AG12" s="102">
        <f t="shared" si="17"/>
        <v>0</v>
      </c>
      <c r="AH12" s="103">
        <f t="shared" si="18"/>
        <v>0</v>
      </c>
      <c r="AI12" s="104">
        <f t="shared" si="19"/>
        <v>0</v>
      </c>
      <c r="AJ12" s="102">
        <f t="shared" si="20"/>
        <v>0</v>
      </c>
      <c r="AK12" s="103">
        <f t="shared" si="21"/>
        <v>0</v>
      </c>
      <c r="AL12" s="104">
        <f t="shared" si="22"/>
        <v>0</v>
      </c>
      <c r="AM12" s="102">
        <f t="shared" si="23"/>
        <v>0</v>
      </c>
      <c r="AN12" s="103">
        <f t="shared" si="24"/>
        <v>0</v>
      </c>
      <c r="AO12" s="104">
        <f t="shared" si="25"/>
        <v>0</v>
      </c>
      <c r="AP12" s="102">
        <f t="shared" si="26"/>
        <v>0</v>
      </c>
      <c r="AQ12" s="103">
        <f t="shared" si="27"/>
        <v>0</v>
      </c>
      <c r="AR12" s="104">
        <f t="shared" si="28"/>
        <v>0</v>
      </c>
      <c r="AS12" s="102">
        <f t="shared" si="29"/>
        <v>0</v>
      </c>
      <c r="AT12" s="103">
        <f t="shared" si="30"/>
        <v>0</v>
      </c>
      <c r="AU12" s="104">
        <f t="shared" si="31"/>
        <v>0</v>
      </c>
      <c r="AV12" s="100"/>
    </row>
    <row r="13" spans="1:48" ht="19.95" customHeight="1">
      <c r="A13" s="114" t="s">
        <v>138</v>
      </c>
      <c r="B13" s="112">
        <v>14</v>
      </c>
      <c r="C13" s="83">
        <f t="shared" ref="C13:C14" si="32">SUMPRODUCT(ROUNDUP(D13/B13,0))</f>
        <v>9</v>
      </c>
      <c r="D13" s="83">
        <f>'มหาชัย-ผลิต'!E14</f>
        <v>115</v>
      </c>
      <c r="E13" s="83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02"/>
      <c r="S13" s="103"/>
      <c r="T13" s="104"/>
      <c r="U13" s="102"/>
      <c r="V13" s="103"/>
      <c r="W13" s="104"/>
      <c r="X13" s="102"/>
      <c r="Y13" s="103"/>
      <c r="Z13" s="104"/>
      <c r="AA13" s="102"/>
      <c r="AB13" s="103"/>
      <c r="AC13" s="104"/>
      <c r="AD13" s="102"/>
      <c r="AE13" s="103"/>
      <c r="AF13" s="104"/>
      <c r="AG13" s="102"/>
      <c r="AH13" s="103"/>
      <c r="AI13" s="104"/>
      <c r="AJ13" s="102"/>
      <c r="AK13" s="103"/>
      <c r="AL13" s="104"/>
      <c r="AM13" s="102"/>
      <c r="AN13" s="103"/>
      <c r="AO13" s="104"/>
      <c r="AP13" s="102"/>
      <c r="AQ13" s="103"/>
      <c r="AR13" s="104"/>
      <c r="AS13" s="102"/>
      <c r="AT13" s="103"/>
      <c r="AU13" s="104"/>
      <c r="AV13" s="122"/>
    </row>
    <row r="14" spans="1:48" ht="19.95" customHeight="1">
      <c r="A14" s="114" t="s">
        <v>140</v>
      </c>
      <c r="B14" s="112">
        <v>14</v>
      </c>
      <c r="C14" s="83">
        <f t="shared" si="32"/>
        <v>7</v>
      </c>
      <c r="D14" s="83">
        <f>'มหาชัย-ผลิต'!E16</f>
        <v>95</v>
      </c>
      <c r="E14" s="83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02"/>
      <c r="S14" s="103"/>
      <c r="T14" s="104"/>
      <c r="U14" s="102"/>
      <c r="V14" s="103"/>
      <c r="W14" s="104"/>
      <c r="X14" s="102"/>
      <c r="Y14" s="103"/>
      <c r="Z14" s="104"/>
      <c r="AA14" s="102"/>
      <c r="AB14" s="103"/>
      <c r="AC14" s="104"/>
      <c r="AD14" s="102"/>
      <c r="AE14" s="103"/>
      <c r="AF14" s="104"/>
      <c r="AG14" s="102"/>
      <c r="AH14" s="103"/>
      <c r="AI14" s="104"/>
      <c r="AJ14" s="102"/>
      <c r="AK14" s="103"/>
      <c r="AL14" s="104"/>
      <c r="AM14" s="102"/>
      <c r="AN14" s="103"/>
      <c r="AO14" s="104"/>
      <c r="AP14" s="102"/>
      <c r="AQ14" s="103"/>
      <c r="AR14" s="104"/>
      <c r="AS14" s="102"/>
      <c r="AT14" s="103"/>
      <c r="AU14" s="104"/>
      <c r="AV14" s="122"/>
    </row>
    <row r="15" spans="1:48" ht="19.95" customHeight="1">
      <c r="A15" s="114" t="s">
        <v>62</v>
      </c>
      <c r="B15" s="112">
        <v>32</v>
      </c>
      <c r="C15" s="83">
        <f t="shared" si="6"/>
        <v>6</v>
      </c>
      <c r="D15" s="83">
        <f>'มหาชัย-ผลิต'!E18</f>
        <v>183</v>
      </c>
      <c r="E15" s="83"/>
      <c r="F15" s="100"/>
      <c r="G15" s="100"/>
      <c r="H15" s="100"/>
      <c r="I15" s="100"/>
      <c r="J15" s="100"/>
      <c r="K15" s="100"/>
      <c r="L15" s="100"/>
      <c r="M15" s="100"/>
      <c r="N15" s="100" t="str">
        <f t="shared" si="7"/>
        <v>5 full, 1 more than half</v>
      </c>
      <c r="O15" s="100"/>
      <c r="P15" s="100"/>
      <c r="Q15" s="100"/>
      <c r="R15" s="102">
        <f t="shared" si="0"/>
        <v>5</v>
      </c>
      <c r="S15" s="103">
        <f t="shared" si="1"/>
        <v>1</v>
      </c>
      <c r="T15" s="104">
        <f t="shared" si="2"/>
        <v>0</v>
      </c>
      <c r="U15" s="102">
        <f t="shared" si="8"/>
        <v>0</v>
      </c>
      <c r="V15" s="103">
        <f t="shared" si="9"/>
        <v>0</v>
      </c>
      <c r="W15" s="104">
        <f t="shared" si="10"/>
        <v>0</v>
      </c>
      <c r="X15" s="102">
        <f t="shared" si="3"/>
        <v>0</v>
      </c>
      <c r="Y15" s="103">
        <f t="shared" si="4"/>
        <v>0</v>
      </c>
      <c r="Z15" s="104">
        <f t="shared" si="5"/>
        <v>0</v>
      </c>
      <c r="AA15" s="102">
        <f t="shared" si="11"/>
        <v>0</v>
      </c>
      <c r="AB15" s="103">
        <f t="shared" si="12"/>
        <v>0</v>
      </c>
      <c r="AC15" s="104">
        <f t="shared" si="13"/>
        <v>0</v>
      </c>
      <c r="AD15" s="102">
        <f t="shared" si="14"/>
        <v>0</v>
      </c>
      <c r="AE15" s="103">
        <f t="shared" si="15"/>
        <v>0</v>
      </c>
      <c r="AF15" s="104">
        <f t="shared" si="16"/>
        <v>0</v>
      </c>
      <c r="AG15" s="102">
        <f t="shared" si="17"/>
        <v>0</v>
      </c>
      <c r="AH15" s="103">
        <f t="shared" si="18"/>
        <v>0</v>
      </c>
      <c r="AI15" s="104">
        <f t="shared" si="19"/>
        <v>0</v>
      </c>
      <c r="AJ15" s="102">
        <f t="shared" si="20"/>
        <v>0</v>
      </c>
      <c r="AK15" s="103">
        <f t="shared" si="21"/>
        <v>0</v>
      </c>
      <c r="AL15" s="104">
        <f t="shared" si="22"/>
        <v>0</v>
      </c>
      <c r="AM15" s="102">
        <f t="shared" si="23"/>
        <v>0</v>
      </c>
      <c r="AN15" s="103">
        <f t="shared" si="24"/>
        <v>0</v>
      </c>
      <c r="AO15" s="104">
        <f t="shared" si="25"/>
        <v>0</v>
      </c>
      <c r="AP15" s="102">
        <f t="shared" si="26"/>
        <v>0</v>
      </c>
      <c r="AQ15" s="103">
        <f t="shared" si="27"/>
        <v>0</v>
      </c>
      <c r="AR15" s="104">
        <f t="shared" si="28"/>
        <v>0</v>
      </c>
      <c r="AS15" s="102">
        <f t="shared" si="29"/>
        <v>0</v>
      </c>
      <c r="AT15" s="103">
        <f t="shared" si="30"/>
        <v>0</v>
      </c>
      <c r="AU15" s="104">
        <f t="shared" si="31"/>
        <v>0</v>
      </c>
      <c r="AV15" s="100"/>
    </row>
    <row r="16" spans="1:48" ht="19.95" customHeight="1">
      <c r="A16" s="115" t="s">
        <v>136</v>
      </c>
      <c r="B16" s="112">
        <v>27</v>
      </c>
      <c r="C16" s="83">
        <f t="shared" si="6"/>
        <v>12</v>
      </c>
      <c r="D16" s="83">
        <f>'มหาชัย-ผลิต'!E20</f>
        <v>316</v>
      </c>
      <c r="E16" s="83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02"/>
      <c r="S16" s="103"/>
      <c r="T16" s="104"/>
      <c r="U16" s="102">
        <f t="shared" si="8"/>
        <v>0</v>
      </c>
      <c r="V16" s="103">
        <f t="shared" si="9"/>
        <v>0</v>
      </c>
      <c r="W16" s="104">
        <f t="shared" si="10"/>
        <v>0</v>
      </c>
      <c r="X16" s="102">
        <f t="shared" si="3"/>
        <v>0</v>
      </c>
      <c r="Y16" s="103">
        <f t="shared" si="4"/>
        <v>0</v>
      </c>
      <c r="Z16" s="104">
        <f t="shared" si="5"/>
        <v>0</v>
      </c>
      <c r="AA16" s="102">
        <f t="shared" si="11"/>
        <v>0</v>
      </c>
      <c r="AB16" s="103">
        <f t="shared" si="12"/>
        <v>0</v>
      </c>
      <c r="AC16" s="104">
        <f t="shared" si="13"/>
        <v>0</v>
      </c>
      <c r="AD16" s="102">
        <f t="shared" si="14"/>
        <v>0</v>
      </c>
      <c r="AE16" s="103">
        <f t="shared" si="15"/>
        <v>0</v>
      </c>
      <c r="AF16" s="104">
        <f t="shared" si="16"/>
        <v>0</v>
      </c>
      <c r="AG16" s="102">
        <f t="shared" si="17"/>
        <v>0</v>
      </c>
      <c r="AH16" s="103">
        <f t="shared" si="18"/>
        <v>0</v>
      </c>
      <c r="AI16" s="104">
        <f t="shared" si="19"/>
        <v>0</v>
      </c>
      <c r="AJ16" s="102">
        <f t="shared" si="20"/>
        <v>0</v>
      </c>
      <c r="AK16" s="103">
        <f t="shared" si="21"/>
        <v>0</v>
      </c>
      <c r="AL16" s="104">
        <f t="shared" si="22"/>
        <v>0</v>
      </c>
      <c r="AM16" s="102">
        <f t="shared" si="23"/>
        <v>0</v>
      </c>
      <c r="AN16" s="103">
        <f t="shared" si="24"/>
        <v>0</v>
      </c>
      <c r="AO16" s="104">
        <f t="shared" si="25"/>
        <v>0</v>
      </c>
      <c r="AP16" s="102">
        <f t="shared" si="26"/>
        <v>0</v>
      </c>
      <c r="AQ16" s="103">
        <f t="shared" si="27"/>
        <v>0</v>
      </c>
      <c r="AR16" s="104">
        <f t="shared" si="28"/>
        <v>0</v>
      </c>
      <c r="AS16" s="102">
        <f t="shared" si="29"/>
        <v>0</v>
      </c>
      <c r="AT16" s="103">
        <f t="shared" si="30"/>
        <v>0</v>
      </c>
      <c r="AU16" s="104">
        <f t="shared" si="31"/>
        <v>0</v>
      </c>
      <c r="AV16" s="111"/>
    </row>
    <row r="17" spans="1:48" ht="19.95" customHeight="1">
      <c r="A17" s="116" t="s">
        <v>142</v>
      </c>
      <c r="B17" s="112">
        <v>27</v>
      </c>
      <c r="C17" s="83">
        <f t="shared" si="6"/>
        <v>12</v>
      </c>
      <c r="D17" s="83">
        <f>'มหาชัย-ผลิต'!E22</f>
        <v>322</v>
      </c>
      <c r="E17" s="83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2"/>
      <c r="S17" s="103"/>
      <c r="T17" s="104"/>
      <c r="U17" s="102">
        <f t="shared" si="8"/>
        <v>0</v>
      </c>
      <c r="V17" s="103">
        <f t="shared" si="9"/>
        <v>0</v>
      </c>
      <c r="W17" s="104">
        <f t="shared" si="10"/>
        <v>0</v>
      </c>
      <c r="X17" s="102">
        <f t="shared" si="3"/>
        <v>0</v>
      </c>
      <c r="Y17" s="103">
        <f t="shared" si="4"/>
        <v>0</v>
      </c>
      <c r="Z17" s="104">
        <f t="shared" si="5"/>
        <v>0</v>
      </c>
      <c r="AA17" s="102">
        <f t="shared" si="11"/>
        <v>0</v>
      </c>
      <c r="AB17" s="103">
        <f t="shared" si="12"/>
        <v>0</v>
      </c>
      <c r="AC17" s="104">
        <f t="shared" si="13"/>
        <v>0</v>
      </c>
      <c r="AD17" s="102">
        <f t="shared" si="14"/>
        <v>0</v>
      </c>
      <c r="AE17" s="103">
        <f t="shared" si="15"/>
        <v>0</v>
      </c>
      <c r="AF17" s="104">
        <f t="shared" si="16"/>
        <v>0</v>
      </c>
      <c r="AG17" s="102">
        <f t="shared" si="17"/>
        <v>0</v>
      </c>
      <c r="AH17" s="103">
        <f t="shared" si="18"/>
        <v>0</v>
      </c>
      <c r="AI17" s="104">
        <f t="shared" si="19"/>
        <v>0</v>
      </c>
      <c r="AJ17" s="102">
        <f t="shared" si="20"/>
        <v>0</v>
      </c>
      <c r="AK17" s="103">
        <f t="shared" si="21"/>
        <v>0</v>
      </c>
      <c r="AL17" s="104">
        <f t="shared" si="22"/>
        <v>0</v>
      </c>
      <c r="AM17" s="102">
        <f t="shared" si="23"/>
        <v>0</v>
      </c>
      <c r="AN17" s="103">
        <f t="shared" si="24"/>
        <v>0</v>
      </c>
      <c r="AO17" s="104">
        <f t="shared" si="25"/>
        <v>0</v>
      </c>
      <c r="AP17" s="102">
        <f t="shared" si="26"/>
        <v>0</v>
      </c>
      <c r="AQ17" s="103">
        <f t="shared" si="27"/>
        <v>0</v>
      </c>
      <c r="AR17" s="104">
        <f t="shared" si="28"/>
        <v>0</v>
      </c>
      <c r="AS17" s="102">
        <f t="shared" si="29"/>
        <v>0</v>
      </c>
      <c r="AT17" s="103">
        <f t="shared" si="30"/>
        <v>0</v>
      </c>
      <c r="AU17" s="104">
        <f t="shared" si="31"/>
        <v>0</v>
      </c>
      <c r="AV17" s="100"/>
    </row>
    <row r="18" spans="1:48" ht="19.95" customHeight="1">
      <c r="A18" s="117" t="s">
        <v>63</v>
      </c>
      <c r="B18" s="112">
        <v>36</v>
      </c>
      <c r="C18" s="83">
        <f>SUMPRODUCT(ROUNDUP(D18/B18,0))</f>
        <v>8</v>
      </c>
      <c r="D18" s="83">
        <f>'มหาชัย-ผลิต'!E24</f>
        <v>257</v>
      </c>
      <c r="E18" s="83"/>
      <c r="F18" s="100"/>
      <c r="G18" s="100"/>
      <c r="H18" s="100"/>
      <c r="I18" s="100"/>
      <c r="J18" s="100"/>
      <c r="K18" s="100"/>
      <c r="L18" s="100"/>
      <c r="M18" s="100"/>
      <c r="N18" s="100" t="str">
        <f t="shared" si="7"/>
        <v>7 full, 1 less than half</v>
      </c>
      <c r="O18" s="100"/>
      <c r="P18" s="100"/>
      <c r="Q18" s="100"/>
      <c r="R18" s="102">
        <f t="shared" si="0"/>
        <v>7</v>
      </c>
      <c r="S18" s="103">
        <f t="shared" si="1"/>
        <v>0</v>
      </c>
      <c r="T18" s="104">
        <f t="shared" si="2"/>
        <v>1</v>
      </c>
      <c r="U18" s="102">
        <f t="shared" si="8"/>
        <v>0</v>
      </c>
      <c r="V18" s="103">
        <f t="shared" si="9"/>
        <v>0</v>
      </c>
      <c r="W18" s="104">
        <f t="shared" si="10"/>
        <v>0</v>
      </c>
      <c r="X18" s="102">
        <f t="shared" si="3"/>
        <v>0</v>
      </c>
      <c r="Y18" s="103">
        <f t="shared" si="4"/>
        <v>0</v>
      </c>
      <c r="Z18" s="104">
        <f t="shared" si="5"/>
        <v>0</v>
      </c>
      <c r="AA18" s="102">
        <f t="shared" si="11"/>
        <v>0</v>
      </c>
      <c r="AB18" s="103">
        <f t="shared" si="12"/>
        <v>0</v>
      </c>
      <c r="AC18" s="104">
        <f t="shared" si="13"/>
        <v>0</v>
      </c>
      <c r="AD18" s="102">
        <f t="shared" si="14"/>
        <v>0</v>
      </c>
      <c r="AE18" s="103">
        <f t="shared" si="15"/>
        <v>0</v>
      </c>
      <c r="AF18" s="104">
        <f t="shared" si="16"/>
        <v>0</v>
      </c>
      <c r="AG18" s="102">
        <f t="shared" si="17"/>
        <v>0</v>
      </c>
      <c r="AH18" s="103">
        <f t="shared" si="18"/>
        <v>0</v>
      </c>
      <c r="AI18" s="104">
        <f t="shared" si="19"/>
        <v>0</v>
      </c>
      <c r="AJ18" s="102">
        <f t="shared" si="20"/>
        <v>0</v>
      </c>
      <c r="AK18" s="103">
        <f t="shared" si="21"/>
        <v>0</v>
      </c>
      <c r="AL18" s="104">
        <f t="shared" si="22"/>
        <v>0</v>
      </c>
      <c r="AM18" s="102">
        <f t="shared" si="23"/>
        <v>0</v>
      </c>
      <c r="AN18" s="103">
        <f t="shared" si="24"/>
        <v>0</v>
      </c>
      <c r="AO18" s="104">
        <f t="shared" si="25"/>
        <v>0</v>
      </c>
      <c r="AP18" s="102">
        <f t="shared" si="26"/>
        <v>0</v>
      </c>
      <c r="AQ18" s="103">
        <f t="shared" si="27"/>
        <v>0</v>
      </c>
      <c r="AR18" s="104">
        <f t="shared" si="28"/>
        <v>0</v>
      </c>
      <c r="AS18" s="102">
        <f t="shared" si="29"/>
        <v>0</v>
      </c>
      <c r="AT18" s="103">
        <f t="shared" si="30"/>
        <v>0</v>
      </c>
      <c r="AU18" s="104">
        <f t="shared" si="31"/>
        <v>0</v>
      </c>
      <c r="AV18" s="100"/>
    </row>
    <row r="19" spans="1:48" ht="19.95" customHeight="1">
      <c r="A19" s="114" t="s">
        <v>114</v>
      </c>
      <c r="B19" s="112">
        <v>20</v>
      </c>
      <c r="C19" s="83">
        <f>SUMPRODUCT(ROUNDUP(D19/B19,0))</f>
        <v>7</v>
      </c>
      <c r="D19" s="83">
        <f>'มหาชัย-ผลิต'!E26</f>
        <v>127</v>
      </c>
      <c r="E19" s="83"/>
      <c r="F19" s="100"/>
      <c r="G19" s="100"/>
      <c r="H19" s="100"/>
      <c r="I19" s="100"/>
      <c r="J19" s="100"/>
      <c r="K19" s="100"/>
      <c r="L19" s="100"/>
      <c r="M19" s="100"/>
      <c r="N19" s="100" t="e">
        <f>'มหาชัย-ผลิต'!#REF!</f>
        <v>#REF!</v>
      </c>
      <c r="O19" s="100"/>
      <c r="P19" s="100"/>
      <c r="Q19" s="100"/>
      <c r="R19" s="102">
        <f t="shared" ref="R19" si="33">INT(D19/B19)</f>
        <v>6</v>
      </c>
      <c r="S19" s="103">
        <f t="shared" ref="S19" si="34">IF(MOD(D19,B19)/B19&gt;0.5,1,0)</f>
        <v>0</v>
      </c>
      <c r="T19" s="104">
        <f t="shared" ref="T19" si="35">IF(AND(MOD(D19,B19)/B19&lt;=0.5,MOD(D19,B19)&lt;&gt;0),1,0)</f>
        <v>1</v>
      </c>
      <c r="U19" s="102">
        <f t="shared" ref="U19:U21" si="36">INT(E19/B19)</f>
        <v>0</v>
      </c>
      <c r="V19" s="103">
        <f t="shared" ref="V19:V21" si="37">IF(MOD(E19,B19)/B19&gt;0.5,1,0)</f>
        <v>0</v>
      </c>
      <c r="W19" s="104">
        <f t="shared" ref="W19:W21" si="38">IF(AND(MOD(E19,B19)/B19&lt;=0.5,MOD(E19,B19)&lt;&gt;0),1,0)</f>
        <v>0</v>
      </c>
      <c r="X19" s="102">
        <f t="shared" ref="X19:X21" si="39">INT(F19/B19)</f>
        <v>0</v>
      </c>
      <c r="Y19" s="103">
        <f t="shared" ref="Y19:Y21" si="40">IF(MOD(F19,B19)/B19&gt;0.5,1,0)</f>
        <v>0</v>
      </c>
      <c r="Z19" s="104">
        <f t="shared" ref="Z19:Z21" si="41">IF(AND(MOD(F19,B19)/B19&lt;=0.5,MOD(F19,B19)&lt;&gt;0),1,0)</f>
        <v>0</v>
      </c>
      <c r="AA19" s="102">
        <f t="shared" ref="AA19:AA21" si="42">INT(G19/B19)</f>
        <v>0</v>
      </c>
      <c r="AB19" s="103">
        <f t="shared" ref="AB19:AB21" si="43">IF(MOD(G19,B19)/B19&gt;0.5,1,0)</f>
        <v>0</v>
      </c>
      <c r="AC19" s="104">
        <f t="shared" ref="AC19:AC21" si="44">IF(AND(MOD(G19,B19)/B19&lt;=0.5,MOD(G19,B19)&lt;&gt;0),1,0)</f>
        <v>0</v>
      </c>
      <c r="AD19" s="102">
        <f t="shared" ref="AD19:AD21" si="45">INT(H19/B19)</f>
        <v>0</v>
      </c>
      <c r="AE19" s="103">
        <f t="shared" ref="AE19:AE21" si="46">IF(MOD(H19,B19)/B19&gt;0.5,1,0)</f>
        <v>0</v>
      </c>
      <c r="AF19" s="104">
        <f t="shared" ref="AF19:AF21" si="47">IF(AND(MOD(H19,B19)/B19&lt;=0.5,MOD(H19,B19)&lt;&gt;0),1,0)</f>
        <v>0</v>
      </c>
      <c r="AG19" s="102">
        <f t="shared" ref="AG19:AG21" si="48">INT(I19/B19)</f>
        <v>0</v>
      </c>
      <c r="AH19" s="103">
        <f t="shared" ref="AH19:AH21" si="49">IF(MOD(I19,B19)/B19&gt;0.5,1,0)</f>
        <v>0</v>
      </c>
      <c r="AI19" s="104">
        <f t="shared" ref="AI19:AI21" si="50">IF(AND(MOD(I19,B19)/B19&lt;=0.5,MOD(I19,B19)&lt;&gt;0),1,0)</f>
        <v>0</v>
      </c>
      <c r="AJ19" s="102">
        <f t="shared" ref="AJ19:AJ21" si="51">INT(J19/B19)</f>
        <v>0</v>
      </c>
      <c r="AK19" s="103">
        <f t="shared" ref="AK19:AK21" si="52">IF(MOD(J19,B19)/B19&gt;0.5,1,0)</f>
        <v>0</v>
      </c>
      <c r="AL19" s="104">
        <f t="shared" ref="AL19:AL21" si="53">IF(AND(MOD(J19,B19)/B19&lt;=0.5,MOD(J19,B19)&lt;&gt;0),1,0)</f>
        <v>0</v>
      </c>
      <c r="AM19" s="102">
        <f t="shared" ref="AM19:AM21" si="54">INT(K19/B19)</f>
        <v>0</v>
      </c>
      <c r="AN19" s="103">
        <f t="shared" ref="AN19:AN21" si="55">IF(MOD(K19,B19)/B19&gt;0.5,1,0)</f>
        <v>0</v>
      </c>
      <c r="AO19" s="104">
        <f t="shared" ref="AO19:AO21" si="56">IF(AND(MOD(K19,B19)/B19&lt;=0.5,MOD(K19,B19)&lt;&gt;0),1,0)</f>
        <v>0</v>
      </c>
      <c r="AP19" s="102">
        <f t="shared" ref="AP19:AP21" si="57">INT(L19/B19)</f>
        <v>0</v>
      </c>
      <c r="AQ19" s="103">
        <f t="shared" ref="AQ19:AQ21" si="58">IF(MOD(L19,B19)/B19&gt;0.5,1,0)</f>
        <v>0</v>
      </c>
      <c r="AR19" s="104">
        <f t="shared" ref="AR19:AR21" si="59">IF(AND(MOD(L19,B19)/B19&lt;=0.5,MOD(L19,B19)&lt;&gt;0),1,0)</f>
        <v>0</v>
      </c>
      <c r="AS19" s="102">
        <f t="shared" ref="AS19:AS21" si="60">INT(M19/B19)</f>
        <v>0</v>
      </c>
      <c r="AT19" s="103">
        <f t="shared" ref="AT19:AT21" si="61">IF(MOD(M19,B19)/B19&gt;0.5,1,0)</f>
        <v>0</v>
      </c>
      <c r="AU19" s="104">
        <f t="shared" ref="AU19:AU21" si="62">IF(AND(MOD(M19,B19)/B19&lt;=0.5,MOD(M19,B19)&lt;&gt;0),1,0)</f>
        <v>0</v>
      </c>
      <c r="AV19" s="100"/>
    </row>
    <row r="20" spans="1:48" ht="19.95" customHeight="1">
      <c r="A20" s="117" t="s">
        <v>131</v>
      </c>
      <c r="B20" s="112">
        <v>15</v>
      </c>
      <c r="C20" s="83">
        <f>SUMPRODUCT(ROUNDUP(D20/B20,0))</f>
        <v>4</v>
      </c>
      <c r="D20" s="83">
        <f>'มหาชัย-ผลิต'!E28</f>
        <v>54</v>
      </c>
      <c r="E20" s="83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2"/>
      <c r="S20" s="103"/>
      <c r="T20" s="104"/>
      <c r="U20" s="102">
        <f t="shared" si="36"/>
        <v>0</v>
      </c>
      <c r="V20" s="103">
        <f t="shared" si="37"/>
        <v>0</v>
      </c>
      <c r="W20" s="104">
        <f t="shared" si="38"/>
        <v>0</v>
      </c>
      <c r="X20" s="102">
        <f t="shared" si="39"/>
        <v>0</v>
      </c>
      <c r="Y20" s="103">
        <f t="shared" si="40"/>
        <v>0</v>
      </c>
      <c r="Z20" s="104">
        <f t="shared" si="41"/>
        <v>0</v>
      </c>
      <c r="AA20" s="102">
        <f t="shared" si="42"/>
        <v>0</v>
      </c>
      <c r="AB20" s="103">
        <f t="shared" si="43"/>
        <v>0</v>
      </c>
      <c r="AC20" s="104">
        <f t="shared" si="44"/>
        <v>0</v>
      </c>
      <c r="AD20" s="102">
        <f t="shared" si="45"/>
        <v>0</v>
      </c>
      <c r="AE20" s="103">
        <f t="shared" si="46"/>
        <v>0</v>
      </c>
      <c r="AF20" s="104">
        <f t="shared" si="47"/>
        <v>0</v>
      </c>
      <c r="AG20" s="102">
        <f t="shared" si="48"/>
        <v>0</v>
      </c>
      <c r="AH20" s="103">
        <f t="shared" si="49"/>
        <v>0</v>
      </c>
      <c r="AI20" s="104">
        <f t="shared" si="50"/>
        <v>0</v>
      </c>
      <c r="AJ20" s="102">
        <f t="shared" si="51"/>
        <v>0</v>
      </c>
      <c r="AK20" s="103">
        <f t="shared" si="52"/>
        <v>0</v>
      </c>
      <c r="AL20" s="104">
        <f t="shared" si="53"/>
        <v>0</v>
      </c>
      <c r="AM20" s="102">
        <f t="shared" si="54"/>
        <v>0</v>
      </c>
      <c r="AN20" s="103">
        <f t="shared" si="55"/>
        <v>0</v>
      </c>
      <c r="AO20" s="104">
        <f t="shared" si="56"/>
        <v>0</v>
      </c>
      <c r="AP20" s="102">
        <f t="shared" si="57"/>
        <v>0</v>
      </c>
      <c r="AQ20" s="103">
        <f t="shared" si="58"/>
        <v>0</v>
      </c>
      <c r="AR20" s="104">
        <f t="shared" si="59"/>
        <v>0</v>
      </c>
      <c r="AS20" s="102">
        <f t="shared" si="60"/>
        <v>0</v>
      </c>
      <c r="AT20" s="103">
        <f t="shared" si="61"/>
        <v>0</v>
      </c>
      <c r="AU20" s="104">
        <f t="shared" si="62"/>
        <v>0</v>
      </c>
      <c r="AV20" s="100"/>
    </row>
    <row r="21" spans="1:48" ht="19.95" customHeight="1">
      <c r="A21" s="117" t="s">
        <v>65</v>
      </c>
      <c r="B21" s="112">
        <v>45</v>
      </c>
      <c r="C21" s="83">
        <f t="shared" ref="C21" si="63">SUMPRODUCT(ROUNDUP(D21/B21,0))</f>
        <v>1</v>
      </c>
      <c r="D21" s="83">
        <f>'มหาชัย-ผลิต'!E30</f>
        <v>8</v>
      </c>
      <c r="E21" s="83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2"/>
      <c r="S21" s="103"/>
      <c r="T21" s="104"/>
      <c r="U21" s="102">
        <f t="shared" si="36"/>
        <v>0</v>
      </c>
      <c r="V21" s="103">
        <f t="shared" si="37"/>
        <v>0</v>
      </c>
      <c r="W21" s="104">
        <f t="shared" si="38"/>
        <v>0</v>
      </c>
      <c r="X21" s="102">
        <f t="shared" si="39"/>
        <v>0</v>
      </c>
      <c r="Y21" s="103">
        <f t="shared" si="40"/>
        <v>0</v>
      </c>
      <c r="Z21" s="104">
        <f t="shared" si="41"/>
        <v>0</v>
      </c>
      <c r="AA21" s="102">
        <f t="shared" si="42"/>
        <v>0</v>
      </c>
      <c r="AB21" s="103">
        <f t="shared" si="43"/>
        <v>0</v>
      </c>
      <c r="AC21" s="104">
        <f t="shared" si="44"/>
        <v>0</v>
      </c>
      <c r="AD21" s="102">
        <f t="shared" si="45"/>
        <v>0</v>
      </c>
      <c r="AE21" s="103">
        <f t="shared" si="46"/>
        <v>0</v>
      </c>
      <c r="AF21" s="104">
        <f t="shared" si="47"/>
        <v>0</v>
      </c>
      <c r="AG21" s="102">
        <f t="shared" si="48"/>
        <v>0</v>
      </c>
      <c r="AH21" s="103">
        <f t="shared" si="49"/>
        <v>0</v>
      </c>
      <c r="AI21" s="104">
        <f t="shared" si="50"/>
        <v>0</v>
      </c>
      <c r="AJ21" s="102">
        <f t="shared" si="51"/>
        <v>0</v>
      </c>
      <c r="AK21" s="103">
        <f t="shared" si="52"/>
        <v>0</v>
      </c>
      <c r="AL21" s="104">
        <f t="shared" si="53"/>
        <v>0</v>
      </c>
      <c r="AM21" s="102">
        <f t="shared" si="54"/>
        <v>0</v>
      </c>
      <c r="AN21" s="103">
        <f t="shared" si="55"/>
        <v>0</v>
      </c>
      <c r="AO21" s="104">
        <f t="shared" si="56"/>
        <v>0</v>
      </c>
      <c r="AP21" s="102">
        <f t="shared" si="57"/>
        <v>0</v>
      </c>
      <c r="AQ21" s="103">
        <f t="shared" si="58"/>
        <v>0</v>
      </c>
      <c r="AR21" s="104">
        <f t="shared" si="59"/>
        <v>0</v>
      </c>
      <c r="AS21" s="102">
        <f t="shared" si="60"/>
        <v>0</v>
      </c>
      <c r="AT21" s="103">
        <f t="shared" si="61"/>
        <v>0</v>
      </c>
      <c r="AU21" s="104">
        <f t="shared" si="62"/>
        <v>0</v>
      </c>
      <c r="AV21" s="100"/>
    </row>
    <row r="22" spans="1:48" ht="19.95" customHeight="1">
      <c r="A22" s="117" t="s">
        <v>134</v>
      </c>
      <c r="B22" s="112">
        <v>15</v>
      </c>
      <c r="C22" s="83">
        <f t="shared" ref="C22" si="64">SUMPRODUCT(ROUNDUP(D22/B22,0))</f>
        <v>8</v>
      </c>
      <c r="D22" s="83">
        <f>'มหาชัย-ผลิต'!E32</f>
        <v>118</v>
      </c>
      <c r="E22" s="83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2"/>
      <c r="S22" s="103"/>
      <c r="T22" s="104"/>
      <c r="U22" s="102">
        <f t="shared" ref="U22" si="65">INT(E22/B22)</f>
        <v>0</v>
      </c>
      <c r="V22" s="103">
        <f t="shared" ref="V22" si="66">IF(MOD(E22,B22)/B22&gt;0.5,1,0)</f>
        <v>0</v>
      </c>
      <c r="W22" s="104">
        <f t="shared" ref="W22" si="67">IF(AND(MOD(E22,B22)/B22&lt;=0.5,MOD(E22,B22)&lt;&gt;0),1,0)</f>
        <v>0</v>
      </c>
      <c r="X22" s="102">
        <f t="shared" ref="X22" si="68">INT(F22/B22)</f>
        <v>0</v>
      </c>
      <c r="Y22" s="103">
        <f t="shared" ref="Y22" si="69">IF(MOD(F22,B22)/B22&gt;0.5,1,0)</f>
        <v>0</v>
      </c>
      <c r="Z22" s="104">
        <f t="shared" ref="Z22" si="70">IF(AND(MOD(F22,B22)/B22&lt;=0.5,MOD(F22,B22)&lt;&gt;0),1,0)</f>
        <v>0</v>
      </c>
      <c r="AA22" s="102">
        <f t="shared" ref="AA22" si="71">INT(G22/B22)</f>
        <v>0</v>
      </c>
      <c r="AB22" s="103">
        <f t="shared" ref="AB22" si="72">IF(MOD(G22,B22)/B22&gt;0.5,1,0)</f>
        <v>0</v>
      </c>
      <c r="AC22" s="104">
        <f t="shared" ref="AC22" si="73">IF(AND(MOD(G22,B22)/B22&lt;=0.5,MOD(G22,B22)&lt;&gt;0),1,0)</f>
        <v>0</v>
      </c>
      <c r="AD22" s="102">
        <f t="shared" ref="AD22" si="74">INT(H22/B22)</f>
        <v>0</v>
      </c>
      <c r="AE22" s="103">
        <f t="shared" ref="AE22" si="75">IF(MOD(H22,B22)/B22&gt;0.5,1,0)</f>
        <v>0</v>
      </c>
      <c r="AF22" s="104">
        <f t="shared" ref="AF22" si="76">IF(AND(MOD(H22,B22)/B22&lt;=0.5,MOD(H22,B22)&lt;&gt;0),1,0)</f>
        <v>0</v>
      </c>
      <c r="AG22" s="102">
        <f t="shared" ref="AG22" si="77">INT(I22/B22)</f>
        <v>0</v>
      </c>
      <c r="AH22" s="103">
        <f t="shared" ref="AH22" si="78">IF(MOD(I22,B22)/B22&gt;0.5,1,0)</f>
        <v>0</v>
      </c>
      <c r="AI22" s="104">
        <f t="shared" ref="AI22" si="79">IF(AND(MOD(I22,B22)/B22&lt;=0.5,MOD(I22,B22)&lt;&gt;0),1,0)</f>
        <v>0</v>
      </c>
      <c r="AJ22" s="102">
        <f t="shared" ref="AJ22" si="80">INT(J22/B22)</f>
        <v>0</v>
      </c>
      <c r="AK22" s="103">
        <f t="shared" ref="AK22" si="81">IF(MOD(J22,B22)/B22&gt;0.5,1,0)</f>
        <v>0</v>
      </c>
      <c r="AL22" s="104">
        <f t="shared" ref="AL22" si="82">IF(AND(MOD(J22,B22)/B22&lt;=0.5,MOD(J22,B22)&lt;&gt;0),1,0)</f>
        <v>0</v>
      </c>
      <c r="AM22" s="102">
        <f t="shared" ref="AM22" si="83">INT(K22/B22)</f>
        <v>0</v>
      </c>
      <c r="AN22" s="103">
        <f t="shared" ref="AN22" si="84">IF(MOD(K22,B22)/B22&gt;0.5,1,0)</f>
        <v>0</v>
      </c>
      <c r="AO22" s="104">
        <f t="shared" ref="AO22" si="85">IF(AND(MOD(K22,B22)/B22&lt;=0.5,MOD(K22,B22)&lt;&gt;0),1,0)</f>
        <v>0</v>
      </c>
      <c r="AP22" s="102">
        <f t="shared" ref="AP22" si="86">INT(L22/B22)</f>
        <v>0</v>
      </c>
      <c r="AQ22" s="103">
        <f t="shared" ref="AQ22" si="87">IF(MOD(L22,B22)/B22&gt;0.5,1,0)</f>
        <v>0</v>
      </c>
      <c r="AR22" s="104">
        <f t="shared" ref="AR22" si="88">IF(AND(MOD(L22,B22)/B22&lt;=0.5,MOD(L22,B22)&lt;&gt;0),1,0)</f>
        <v>0</v>
      </c>
      <c r="AS22" s="102">
        <f t="shared" ref="AS22" si="89">INT(M22/B22)</f>
        <v>0</v>
      </c>
      <c r="AT22" s="103">
        <f t="shared" ref="AT22" si="90">IF(MOD(M22,B22)/B22&gt;0.5,1,0)</f>
        <v>0</v>
      </c>
      <c r="AU22" s="104">
        <f t="shared" ref="AU22" si="91">IF(AND(MOD(M22,B22)/B22&lt;=0.5,MOD(M22,B22)&lt;&gt;0),1,0)</f>
        <v>0</v>
      </c>
      <c r="AV22" s="105"/>
    </row>
    <row r="23" spans="1:48" ht="19.95" customHeight="1">
      <c r="A23" s="117" t="s">
        <v>66</v>
      </c>
      <c r="B23" s="112">
        <v>15</v>
      </c>
      <c r="C23" s="83">
        <f t="shared" ref="C23:C24" si="92">SUMPRODUCT(ROUNDUP(D23/B23,0))</f>
        <v>3</v>
      </c>
      <c r="D23" s="83">
        <f>'มหาชัย-ผลิต'!E34</f>
        <v>41</v>
      </c>
      <c r="E23" s="83"/>
      <c r="F23" s="100"/>
      <c r="G23" s="100"/>
      <c r="H23" s="100"/>
      <c r="I23" s="100"/>
      <c r="J23" s="100"/>
      <c r="K23" s="100"/>
      <c r="L23" s="100"/>
      <c r="M23" s="100"/>
      <c r="N23" s="100" t="e">
        <f>'มหาชัย-ผลิต'!#REF!</f>
        <v>#REF!</v>
      </c>
      <c r="O23" s="100"/>
      <c r="P23" s="100"/>
      <c r="Q23" s="100"/>
      <c r="R23" s="102">
        <f t="shared" si="0"/>
        <v>2</v>
      </c>
      <c r="S23" s="103">
        <f t="shared" si="1"/>
        <v>1</v>
      </c>
      <c r="T23" s="104">
        <f t="shared" si="2"/>
        <v>0</v>
      </c>
      <c r="U23" s="102">
        <f t="shared" si="8"/>
        <v>0</v>
      </c>
      <c r="V23" s="103">
        <f t="shared" si="9"/>
        <v>0</v>
      </c>
      <c r="W23" s="104">
        <f t="shared" si="10"/>
        <v>0</v>
      </c>
      <c r="X23" s="102">
        <f t="shared" si="3"/>
        <v>0</v>
      </c>
      <c r="Y23" s="103">
        <f t="shared" si="4"/>
        <v>0</v>
      </c>
      <c r="Z23" s="104">
        <f t="shared" si="5"/>
        <v>0</v>
      </c>
      <c r="AA23" s="102">
        <f t="shared" si="11"/>
        <v>0</v>
      </c>
      <c r="AB23" s="103">
        <f t="shared" si="12"/>
        <v>0</v>
      </c>
      <c r="AC23" s="104">
        <f t="shared" si="13"/>
        <v>0</v>
      </c>
      <c r="AD23" s="102">
        <f t="shared" si="14"/>
        <v>0</v>
      </c>
      <c r="AE23" s="103">
        <f t="shared" si="15"/>
        <v>0</v>
      </c>
      <c r="AF23" s="104">
        <f t="shared" si="16"/>
        <v>0</v>
      </c>
      <c r="AG23" s="102">
        <f t="shared" si="17"/>
        <v>0</v>
      </c>
      <c r="AH23" s="103">
        <f t="shared" si="18"/>
        <v>0</v>
      </c>
      <c r="AI23" s="104">
        <f t="shared" si="19"/>
        <v>0</v>
      </c>
      <c r="AJ23" s="102">
        <f t="shared" si="20"/>
        <v>0</v>
      </c>
      <c r="AK23" s="103">
        <f t="shared" si="21"/>
        <v>0</v>
      </c>
      <c r="AL23" s="104">
        <f t="shared" si="22"/>
        <v>0</v>
      </c>
      <c r="AM23" s="102">
        <f t="shared" si="23"/>
        <v>0</v>
      </c>
      <c r="AN23" s="103">
        <f t="shared" si="24"/>
        <v>0</v>
      </c>
      <c r="AO23" s="104">
        <f t="shared" si="25"/>
        <v>0</v>
      </c>
      <c r="AP23" s="102">
        <f t="shared" si="26"/>
        <v>0</v>
      </c>
      <c r="AQ23" s="103">
        <f t="shared" si="27"/>
        <v>0</v>
      </c>
      <c r="AR23" s="104">
        <f t="shared" si="28"/>
        <v>0</v>
      </c>
      <c r="AS23" s="102">
        <f t="shared" si="29"/>
        <v>0</v>
      </c>
      <c r="AT23" s="103">
        <f t="shared" si="30"/>
        <v>0</v>
      </c>
      <c r="AU23" s="104">
        <f t="shared" si="31"/>
        <v>0</v>
      </c>
      <c r="AV23" s="100"/>
    </row>
    <row r="24" spans="1:48" ht="19.95" customHeight="1">
      <c r="A24" s="117" t="s">
        <v>132</v>
      </c>
      <c r="B24" s="112">
        <v>27</v>
      </c>
      <c r="C24" s="83">
        <f t="shared" si="92"/>
        <v>4</v>
      </c>
      <c r="D24" s="83">
        <f>'มหาชัย-ผลิต'!E36</f>
        <v>90</v>
      </c>
      <c r="E24" s="83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2"/>
      <c r="S24" s="103"/>
      <c r="T24" s="104"/>
      <c r="U24" s="102">
        <f t="shared" si="8"/>
        <v>0</v>
      </c>
      <c r="V24" s="103">
        <f t="shared" si="9"/>
        <v>0</v>
      </c>
      <c r="W24" s="104">
        <f t="shared" si="10"/>
        <v>0</v>
      </c>
      <c r="X24" s="102">
        <f t="shared" si="3"/>
        <v>0</v>
      </c>
      <c r="Y24" s="103">
        <f t="shared" si="4"/>
        <v>0</v>
      </c>
      <c r="Z24" s="104">
        <f t="shared" si="5"/>
        <v>0</v>
      </c>
      <c r="AA24" s="102">
        <f t="shared" si="11"/>
        <v>0</v>
      </c>
      <c r="AB24" s="103">
        <f t="shared" si="12"/>
        <v>0</v>
      </c>
      <c r="AC24" s="104">
        <f t="shared" si="13"/>
        <v>0</v>
      </c>
      <c r="AD24" s="102">
        <f t="shared" si="14"/>
        <v>0</v>
      </c>
      <c r="AE24" s="103">
        <f t="shared" si="15"/>
        <v>0</v>
      </c>
      <c r="AF24" s="104">
        <f t="shared" si="16"/>
        <v>0</v>
      </c>
      <c r="AG24" s="102">
        <f t="shared" si="17"/>
        <v>0</v>
      </c>
      <c r="AH24" s="103">
        <f t="shared" si="18"/>
        <v>0</v>
      </c>
      <c r="AI24" s="104">
        <f t="shared" si="19"/>
        <v>0</v>
      </c>
      <c r="AJ24" s="102">
        <f t="shared" si="20"/>
        <v>0</v>
      </c>
      <c r="AK24" s="103">
        <f t="shared" si="21"/>
        <v>0</v>
      </c>
      <c r="AL24" s="104">
        <f t="shared" si="22"/>
        <v>0</v>
      </c>
      <c r="AM24" s="102">
        <f t="shared" si="23"/>
        <v>0</v>
      </c>
      <c r="AN24" s="103">
        <f t="shared" si="24"/>
        <v>0</v>
      </c>
      <c r="AO24" s="104">
        <f t="shared" si="25"/>
        <v>0</v>
      </c>
      <c r="AP24" s="102">
        <f t="shared" si="26"/>
        <v>0</v>
      </c>
      <c r="AQ24" s="103">
        <f t="shared" si="27"/>
        <v>0</v>
      </c>
      <c r="AR24" s="104">
        <f t="shared" si="28"/>
        <v>0</v>
      </c>
      <c r="AS24" s="102">
        <f t="shared" si="29"/>
        <v>0</v>
      </c>
      <c r="AT24" s="103">
        <f t="shared" si="30"/>
        <v>0</v>
      </c>
      <c r="AU24" s="104">
        <f t="shared" si="31"/>
        <v>0</v>
      </c>
      <c r="AV24" s="100"/>
    </row>
    <row r="25" spans="1:48" ht="19.95" customHeight="1">
      <c r="A25" s="117" t="s">
        <v>68</v>
      </c>
      <c r="B25" s="112">
        <v>20</v>
      </c>
      <c r="C25" s="83">
        <f t="shared" ref="C25:C27" si="93">SUMPRODUCT(ROUNDUP(D25/B25,0))</f>
        <v>10</v>
      </c>
      <c r="D25" s="83">
        <f>'มหาชัย-ผลิต'!E38</f>
        <v>182</v>
      </c>
      <c r="E25" s="83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2"/>
      <c r="S25" s="103"/>
      <c r="T25" s="104"/>
      <c r="U25" s="102">
        <f t="shared" ref="U25" si="94">INT(E25/B25)</f>
        <v>0</v>
      </c>
      <c r="V25" s="103">
        <f t="shared" ref="V25" si="95">IF(MOD(E25,B25)/B25&gt;0.5,1,0)</f>
        <v>0</v>
      </c>
      <c r="W25" s="104">
        <f t="shared" ref="W25" si="96">IF(AND(MOD(E25,B25)/B25&lt;=0.5,MOD(E25,B25)&lt;&gt;0),1,0)</f>
        <v>0</v>
      </c>
      <c r="X25" s="102">
        <f t="shared" ref="X25" si="97">INT(F25/B25)</f>
        <v>0</v>
      </c>
      <c r="Y25" s="103">
        <f t="shared" ref="Y25" si="98">IF(MOD(F25,B25)/B25&gt;0.5,1,0)</f>
        <v>0</v>
      </c>
      <c r="Z25" s="104">
        <f t="shared" ref="Z25" si="99">IF(AND(MOD(F25,B25)/B25&lt;=0.5,MOD(F25,B25)&lt;&gt;0),1,0)</f>
        <v>0</v>
      </c>
      <c r="AA25" s="102">
        <f t="shared" ref="AA25" si="100">INT(G25/B25)</f>
        <v>0</v>
      </c>
      <c r="AB25" s="103">
        <f t="shared" ref="AB25" si="101">IF(MOD(G25,B25)/B25&gt;0.5,1,0)</f>
        <v>0</v>
      </c>
      <c r="AC25" s="104">
        <f t="shared" ref="AC25" si="102">IF(AND(MOD(G25,B25)/B25&lt;=0.5,MOD(G25,B25)&lt;&gt;0),1,0)</f>
        <v>0</v>
      </c>
      <c r="AD25" s="102">
        <f t="shared" ref="AD25" si="103">INT(H25/B25)</f>
        <v>0</v>
      </c>
      <c r="AE25" s="103">
        <f t="shared" ref="AE25" si="104">IF(MOD(H25,B25)/B25&gt;0.5,1,0)</f>
        <v>0</v>
      </c>
      <c r="AF25" s="104">
        <f t="shared" ref="AF25" si="105">IF(AND(MOD(H25,B25)/B25&lt;=0.5,MOD(H25,B25)&lt;&gt;0),1,0)</f>
        <v>0</v>
      </c>
      <c r="AG25" s="102">
        <f t="shared" ref="AG25" si="106">INT(I25/B25)</f>
        <v>0</v>
      </c>
      <c r="AH25" s="103">
        <f t="shared" ref="AH25" si="107">IF(MOD(I25,B25)/B25&gt;0.5,1,0)</f>
        <v>0</v>
      </c>
      <c r="AI25" s="104">
        <f t="shared" ref="AI25" si="108">IF(AND(MOD(I25,B25)/B25&lt;=0.5,MOD(I25,B25)&lt;&gt;0),1,0)</f>
        <v>0</v>
      </c>
      <c r="AJ25" s="102">
        <f t="shared" ref="AJ25" si="109">INT(J25/B25)</f>
        <v>0</v>
      </c>
      <c r="AK25" s="103">
        <f t="shared" ref="AK25" si="110">IF(MOD(J25,B25)/B25&gt;0.5,1,0)</f>
        <v>0</v>
      </c>
      <c r="AL25" s="104">
        <f t="shared" ref="AL25" si="111">IF(AND(MOD(J25,B25)/B25&lt;=0.5,MOD(J25,B25)&lt;&gt;0),1,0)</f>
        <v>0</v>
      </c>
      <c r="AM25" s="102">
        <f t="shared" ref="AM25" si="112">INT(K25/B25)</f>
        <v>0</v>
      </c>
      <c r="AN25" s="103">
        <f t="shared" ref="AN25" si="113">IF(MOD(K25,B25)/B25&gt;0.5,1,0)</f>
        <v>0</v>
      </c>
      <c r="AO25" s="104">
        <f t="shared" ref="AO25" si="114">IF(AND(MOD(K25,B25)/B25&lt;=0.5,MOD(K25,B25)&lt;&gt;0),1,0)</f>
        <v>0</v>
      </c>
      <c r="AP25" s="102">
        <f t="shared" ref="AP25" si="115">INT(L25/B25)</f>
        <v>0</v>
      </c>
      <c r="AQ25" s="103">
        <f t="shared" ref="AQ25" si="116">IF(MOD(L25,B25)/B25&gt;0.5,1,0)</f>
        <v>0</v>
      </c>
      <c r="AR25" s="104">
        <f t="shared" ref="AR25" si="117">IF(AND(MOD(L25,B25)/B25&lt;=0.5,MOD(L25,B25)&lt;&gt;0),1,0)</f>
        <v>0</v>
      </c>
      <c r="AS25" s="102">
        <f t="shared" ref="AS25" si="118">INT(M25/B25)</f>
        <v>0</v>
      </c>
      <c r="AT25" s="103">
        <f t="shared" ref="AT25" si="119">IF(MOD(M25,B25)/B25&gt;0.5,1,0)</f>
        <v>0</v>
      </c>
      <c r="AU25" s="104">
        <f t="shared" ref="AU25" si="120">IF(AND(MOD(M25,B25)/B25&lt;=0.5,MOD(M25,B25)&lt;&gt;0),1,0)</f>
        <v>0</v>
      </c>
      <c r="AV25" s="100"/>
    </row>
    <row r="26" spans="1:48" ht="19.95" customHeight="1">
      <c r="A26" s="116" t="s">
        <v>69</v>
      </c>
      <c r="B26" s="112">
        <v>32</v>
      </c>
      <c r="C26" s="83">
        <f t="shared" si="93"/>
        <v>3</v>
      </c>
      <c r="D26" s="83">
        <f>'มหาชัย-ผลิต'!E40</f>
        <v>89</v>
      </c>
      <c r="E26" s="83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2"/>
      <c r="S26" s="103"/>
      <c r="T26" s="104"/>
      <c r="U26" s="102"/>
      <c r="V26" s="103"/>
      <c r="W26" s="104"/>
      <c r="X26" s="102"/>
      <c r="Y26" s="103"/>
      <c r="Z26" s="104"/>
      <c r="AA26" s="102"/>
      <c r="AB26" s="103"/>
      <c r="AC26" s="104"/>
      <c r="AD26" s="102"/>
      <c r="AE26" s="103"/>
      <c r="AF26" s="104"/>
      <c r="AG26" s="102"/>
      <c r="AH26" s="103"/>
      <c r="AI26" s="104"/>
      <c r="AJ26" s="102"/>
      <c r="AK26" s="103"/>
      <c r="AL26" s="104"/>
      <c r="AM26" s="102"/>
      <c r="AN26" s="103"/>
      <c r="AO26" s="104"/>
      <c r="AP26" s="102"/>
      <c r="AQ26" s="103"/>
      <c r="AR26" s="104"/>
      <c r="AS26" s="102"/>
      <c r="AT26" s="103"/>
      <c r="AU26" s="104"/>
      <c r="AV26" s="100"/>
    </row>
    <row r="27" spans="1:48" ht="19.95" customHeight="1">
      <c r="A27" s="114" t="s">
        <v>113</v>
      </c>
      <c r="B27" s="112">
        <v>15</v>
      </c>
      <c r="C27" s="83">
        <f t="shared" si="93"/>
        <v>1</v>
      </c>
      <c r="D27" s="83">
        <f>'มหาชัย-ผลิต'!E42</f>
        <v>13</v>
      </c>
      <c r="E27" s="83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2"/>
      <c r="S27" s="103"/>
      <c r="T27" s="104"/>
      <c r="U27" s="102"/>
      <c r="V27" s="103"/>
      <c r="W27" s="104"/>
      <c r="X27" s="102"/>
      <c r="Y27" s="103"/>
      <c r="Z27" s="104"/>
      <c r="AA27" s="102"/>
      <c r="AB27" s="103"/>
      <c r="AC27" s="104"/>
      <c r="AD27" s="102"/>
      <c r="AE27" s="103"/>
      <c r="AF27" s="104"/>
      <c r="AG27" s="102"/>
      <c r="AH27" s="103"/>
      <c r="AI27" s="104"/>
      <c r="AJ27" s="102"/>
      <c r="AK27" s="103"/>
      <c r="AL27" s="104"/>
      <c r="AM27" s="102"/>
      <c r="AN27" s="103"/>
      <c r="AO27" s="104"/>
      <c r="AP27" s="102"/>
      <c r="AQ27" s="103"/>
      <c r="AR27" s="104"/>
      <c r="AS27" s="102"/>
      <c r="AT27" s="103"/>
      <c r="AU27" s="104"/>
      <c r="AV27" s="100"/>
    </row>
    <row r="28" spans="1:48" ht="19.95" customHeight="1">
      <c r="A28" s="114" t="s">
        <v>146</v>
      </c>
      <c r="B28" s="112">
        <v>8</v>
      </c>
      <c r="C28" s="83">
        <f t="shared" ref="C28" si="121">SUMPRODUCT(ROUNDUP(D28/B28,0))</f>
        <v>10</v>
      </c>
      <c r="D28" s="83">
        <f>'มหาชัย-ผลิต'!E44</f>
        <v>74</v>
      </c>
      <c r="E28" s="8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02"/>
      <c r="S28" s="103"/>
      <c r="T28" s="104"/>
      <c r="U28" s="102"/>
      <c r="V28" s="103"/>
      <c r="W28" s="104"/>
      <c r="X28" s="102"/>
      <c r="Y28" s="103"/>
      <c r="Z28" s="104"/>
      <c r="AA28" s="102"/>
      <c r="AB28" s="103"/>
      <c r="AC28" s="104"/>
      <c r="AD28" s="102"/>
      <c r="AE28" s="103"/>
      <c r="AF28" s="104"/>
      <c r="AG28" s="102"/>
      <c r="AH28" s="103"/>
      <c r="AI28" s="104"/>
      <c r="AJ28" s="102"/>
      <c r="AK28" s="103"/>
      <c r="AL28" s="104"/>
      <c r="AM28" s="102"/>
      <c r="AN28" s="103"/>
      <c r="AO28" s="104"/>
      <c r="AP28" s="102"/>
      <c r="AQ28" s="103"/>
      <c r="AR28" s="104"/>
      <c r="AS28" s="102"/>
      <c r="AT28" s="103"/>
      <c r="AU28" s="104"/>
      <c r="AV28" s="133"/>
    </row>
    <row r="29" spans="1:48" s="23" customFormat="1" ht="25.2" customHeight="1">
      <c r="A29" s="201" t="s">
        <v>40</v>
      </c>
      <c r="B29" s="202"/>
      <c r="C29" s="99">
        <f>SUM(C10:C28)</f>
        <v>127</v>
      </c>
      <c r="D29" s="61">
        <f>SUM(D30:D32)*-1</f>
        <v>-46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</row>
    <row r="30" spans="1:48" ht="21" customHeight="1">
      <c r="A30" s="203" t="s">
        <v>41</v>
      </c>
      <c r="B30" s="203"/>
      <c r="C30" s="203"/>
      <c r="D30" s="101">
        <f>SUM(R10:R23)</f>
        <v>40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</row>
    <row r="31" spans="1:48" ht="21" customHeight="1">
      <c r="A31" s="198" t="s">
        <v>42</v>
      </c>
      <c r="B31" s="198"/>
      <c r="C31" s="198"/>
      <c r="D31" s="11">
        <f>SUM(S10:S23)</f>
        <v>3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48" ht="21" customHeight="1">
      <c r="A32" s="198" t="s">
        <v>43</v>
      </c>
      <c r="B32" s="198"/>
      <c r="C32" s="198"/>
      <c r="D32" s="11">
        <f>SUM(T10:T23)</f>
        <v>3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7" ht="15" customHeight="1">
      <c r="A33" s="62"/>
      <c r="B33" s="8"/>
      <c r="C33" s="8"/>
    </row>
    <row r="34" spans="1:17" ht="15" customHeight="1">
      <c r="A34" s="62"/>
      <c r="B34" s="8"/>
      <c r="C34" s="8"/>
    </row>
    <row r="35" spans="1:17" ht="18" customHeight="1">
      <c r="A35" s="197" t="s">
        <v>44</v>
      </c>
      <c r="B35" s="12" t="s">
        <v>41</v>
      </c>
      <c r="C35" s="10">
        <v>134</v>
      </c>
      <c r="D35" s="11">
        <f>IF(C35=0, 0, ((SUM(D30:M30)+SUM(D31:M31))/C35)*100)</f>
        <v>32.089552238805972</v>
      </c>
      <c r="E35" s="11" t="s">
        <v>16</v>
      </c>
    </row>
    <row r="36" spans="1:17" ht="18" customHeight="1">
      <c r="A36" s="197"/>
      <c r="B36" s="12" t="s">
        <v>46</v>
      </c>
      <c r="C36" s="10">
        <v>242</v>
      </c>
      <c r="D36" s="11">
        <f>IF(C36=0, 0, ((SUM(D32:M32))/C36)*100)</f>
        <v>1.2396694214876034</v>
      </c>
      <c r="E36" s="11" t="s">
        <v>16</v>
      </c>
    </row>
    <row r="37" spans="1:17" ht="18" customHeight="1">
      <c r="A37" s="197"/>
      <c r="B37" s="198" t="s">
        <v>48</v>
      </c>
      <c r="C37" s="198"/>
      <c r="D37" s="11">
        <f>D35+D36</f>
        <v>33.329221660293577</v>
      </c>
      <c r="E37" s="11" t="s">
        <v>16</v>
      </c>
    </row>
    <row r="38" spans="1:17" ht="18" customHeight="1">
      <c r="A38" s="197"/>
      <c r="B38" s="198" t="s">
        <v>47</v>
      </c>
      <c r="C38" s="198"/>
      <c r="D38" s="11">
        <v>100</v>
      </c>
      <c r="E38" s="11" t="s">
        <v>16</v>
      </c>
    </row>
    <row r="39" spans="1:17" ht="18" customHeight="1">
      <c r="A39" s="197"/>
      <c r="B39" s="198" t="s">
        <v>19</v>
      </c>
      <c r="C39" s="198"/>
      <c r="D39" s="11">
        <f>CEILING(D37 /D38, 1)</f>
        <v>1</v>
      </c>
      <c r="E39" s="13" t="s">
        <v>20</v>
      </c>
    </row>
    <row r="40" spans="1:17" ht="18" customHeight="1">
      <c r="A40" s="197" t="s">
        <v>45</v>
      </c>
      <c r="B40" s="12" t="s">
        <v>41</v>
      </c>
      <c r="C40" s="10">
        <v>154</v>
      </c>
      <c r="D40" s="11">
        <f>IF(C40=0, 0, ((SUM(D30:M30)+SUM(D31:M31))/C40)*100)</f>
        <v>27.922077922077921</v>
      </c>
      <c r="E40" s="11" t="s">
        <v>16</v>
      </c>
    </row>
    <row r="41" spans="1:17" ht="18" customHeight="1">
      <c r="A41" s="197"/>
      <c r="B41" s="12" t="s">
        <v>46</v>
      </c>
      <c r="C41" s="10">
        <v>278</v>
      </c>
      <c r="D41" s="11">
        <f>IF(C41=0, 0, ((SUM(D32:M32))/C41)*100)</f>
        <v>1.079136690647482</v>
      </c>
      <c r="E41" s="11" t="s">
        <v>16</v>
      </c>
    </row>
    <row r="42" spans="1:17" ht="18" customHeight="1">
      <c r="A42" s="197"/>
      <c r="B42" s="198" t="s">
        <v>48</v>
      </c>
      <c r="C42" s="198"/>
      <c r="D42" s="11">
        <f>D40+D41</f>
        <v>29.001214612725402</v>
      </c>
      <c r="E42" s="11" t="s">
        <v>16</v>
      </c>
    </row>
    <row r="43" spans="1:17" ht="18" customHeight="1">
      <c r="A43" s="197"/>
      <c r="B43" s="198" t="s">
        <v>47</v>
      </c>
      <c r="C43" s="198"/>
      <c r="D43" s="11">
        <v>100</v>
      </c>
      <c r="E43" s="11" t="s">
        <v>16</v>
      </c>
    </row>
    <row r="44" spans="1:17" ht="25.2" customHeight="1">
      <c r="A44" s="197"/>
      <c r="B44" s="198" t="s">
        <v>19</v>
      </c>
      <c r="C44" s="198"/>
      <c r="D44" s="11">
        <f>CEILING(D42 /D43, 1)</f>
        <v>1</v>
      </c>
      <c r="E44" s="13" t="s">
        <v>20</v>
      </c>
    </row>
    <row r="45" spans="1:17" ht="25.2" customHeight="1">
      <c r="B45" s="8"/>
      <c r="C45" s="8"/>
      <c r="E45" s="9"/>
    </row>
    <row r="46" spans="1:17" ht="4.95" customHeight="1">
      <c r="B46" s="8"/>
      <c r="C46" s="8"/>
      <c r="E46" s="9"/>
    </row>
    <row r="47" spans="1:17" ht="21" customHeight="1">
      <c r="A47" s="199" t="s">
        <v>15</v>
      </c>
      <c r="B47" s="197"/>
      <c r="C47" s="10" t="s">
        <v>49</v>
      </c>
      <c r="D47" s="199" t="s">
        <v>53</v>
      </c>
      <c r="E47" s="199"/>
      <c r="F47" s="199"/>
      <c r="G47" s="199" t="s">
        <v>54</v>
      </c>
      <c r="H47" s="199"/>
      <c r="I47" s="199"/>
      <c r="J47" s="185" t="s">
        <v>55</v>
      </c>
      <c r="K47" s="186"/>
      <c r="L47" s="186"/>
      <c r="M47" s="187"/>
      <c r="N47" s="14"/>
      <c r="O47" s="188" t="s">
        <v>60</v>
      </c>
      <c r="P47" s="189"/>
    </row>
    <row r="48" spans="1:17" ht="21" customHeight="1">
      <c r="A48" s="192" t="s">
        <v>50</v>
      </c>
      <c r="B48" s="193"/>
      <c r="C48" s="11"/>
      <c r="D48" s="185"/>
      <c r="E48" s="186"/>
      <c r="F48" s="187"/>
      <c r="G48" s="185"/>
      <c r="H48" s="186"/>
      <c r="I48" s="187"/>
      <c r="J48" s="194"/>
      <c r="K48" s="195"/>
      <c r="L48" s="195"/>
      <c r="M48" s="196"/>
      <c r="N48" s="15"/>
      <c r="O48" s="19" t="s">
        <v>56</v>
      </c>
      <c r="P48" s="20" t="s">
        <v>57</v>
      </c>
      <c r="Q48" s="5"/>
    </row>
    <row r="49" spans="1:17" ht="21" customHeight="1">
      <c r="A49" s="192" t="s">
        <v>51</v>
      </c>
      <c r="B49" s="193"/>
      <c r="C49" s="11"/>
      <c r="D49" s="185"/>
      <c r="E49" s="186"/>
      <c r="F49" s="187"/>
      <c r="G49" s="185"/>
      <c r="H49" s="186"/>
      <c r="I49" s="187"/>
      <c r="J49" s="194"/>
      <c r="K49" s="195"/>
      <c r="L49" s="195"/>
      <c r="M49" s="196"/>
      <c r="N49" s="15"/>
      <c r="O49" s="19" t="s">
        <v>58</v>
      </c>
      <c r="P49" s="20" t="s">
        <v>57</v>
      </c>
      <c r="Q49" s="16"/>
    </row>
    <row r="50" spans="1:17" ht="21" customHeight="1">
      <c r="A50" s="192" t="s">
        <v>52</v>
      </c>
      <c r="B50" s="192"/>
      <c r="C50" s="11"/>
      <c r="D50" s="185"/>
      <c r="E50" s="186"/>
      <c r="F50" s="187"/>
      <c r="G50" s="185"/>
      <c r="H50" s="186"/>
      <c r="I50" s="187"/>
      <c r="J50" s="194"/>
      <c r="K50" s="195"/>
      <c r="L50" s="195"/>
      <c r="M50" s="196"/>
      <c r="N50" s="15"/>
      <c r="O50" s="17" t="s">
        <v>59</v>
      </c>
      <c r="P50" s="18" t="s">
        <v>57</v>
      </c>
      <c r="Q50" s="16"/>
    </row>
    <row r="51" spans="1:17" ht="15" customHeight="1">
      <c r="O51" s="16"/>
      <c r="P51" s="16"/>
      <c r="Q51" s="16"/>
    </row>
  </sheetData>
  <mergeCells count="59">
    <mergeCell ref="B1:M1"/>
    <mergeCell ref="O1:Q1"/>
    <mergeCell ref="O3:Q4"/>
    <mergeCell ref="A6:B8"/>
    <mergeCell ref="C6:Q6"/>
    <mergeCell ref="L8:L9"/>
    <mergeCell ref="Q8:Q9"/>
    <mergeCell ref="A30:C30"/>
    <mergeCell ref="D8:D9"/>
    <mergeCell ref="C7:C9"/>
    <mergeCell ref="E8:E9"/>
    <mergeCell ref="F8:F9"/>
    <mergeCell ref="D7:Q7"/>
    <mergeCell ref="AJ8:AL8"/>
    <mergeCell ref="AM8:AO8"/>
    <mergeCell ref="AP8:AR8"/>
    <mergeCell ref="AS8:AU8"/>
    <mergeCell ref="A29:B29"/>
    <mergeCell ref="R8:T8"/>
    <mergeCell ref="U8:W8"/>
    <mergeCell ref="X8:Z8"/>
    <mergeCell ref="AA8:AC8"/>
    <mergeCell ref="AD8:AF8"/>
    <mergeCell ref="AG8:AI8"/>
    <mergeCell ref="G8:G9"/>
    <mergeCell ref="H8:H9"/>
    <mergeCell ref="I8:I9"/>
    <mergeCell ref="J8:J9"/>
    <mergeCell ref="K8:K9"/>
    <mergeCell ref="A31:C31"/>
    <mergeCell ref="A32:C32"/>
    <mergeCell ref="A35:A39"/>
    <mergeCell ref="B37:C37"/>
    <mergeCell ref="B38:C38"/>
    <mergeCell ref="B39:C39"/>
    <mergeCell ref="A48:B48"/>
    <mergeCell ref="A49:B49"/>
    <mergeCell ref="A50:B50"/>
    <mergeCell ref="J50:M50"/>
    <mergeCell ref="A40:A44"/>
    <mergeCell ref="B42:C42"/>
    <mergeCell ref="B43:C43"/>
    <mergeCell ref="B44:C44"/>
    <mergeCell ref="A47:B47"/>
    <mergeCell ref="D47:F47"/>
    <mergeCell ref="J48:M48"/>
    <mergeCell ref="J49:M49"/>
    <mergeCell ref="G47:I47"/>
    <mergeCell ref="D48:F48"/>
    <mergeCell ref="D49:F49"/>
    <mergeCell ref="D50:F50"/>
    <mergeCell ref="G48:I48"/>
    <mergeCell ref="G49:I49"/>
    <mergeCell ref="G50:I50"/>
    <mergeCell ref="O47:P47"/>
    <mergeCell ref="O8:O9"/>
    <mergeCell ref="P8:P9"/>
    <mergeCell ref="M8:M9"/>
    <mergeCell ref="J47:M47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5"/>
  <sheetViews>
    <sheetView workbookViewId="0">
      <selection activeCell="A12" sqref="A12:C12"/>
    </sheetView>
  </sheetViews>
  <sheetFormatPr defaultRowHeight="13.8"/>
  <cols>
    <col min="2" max="2" width="51.59765625" bestFit="1" customWidth="1"/>
    <col min="4" max="4" width="47.8984375" bestFit="1" customWidth="1"/>
    <col min="5" max="5" width="11.09765625" customWidth="1"/>
    <col min="6" max="6" width="11.69921875" customWidth="1"/>
  </cols>
  <sheetData>
    <row r="2" spans="1:9" s="3" customFormat="1" ht="15" customHeight="1"/>
    <row r="3" spans="1:9" s="3" customFormat="1" ht="30.75" customHeight="1">
      <c r="D3" s="43"/>
      <c r="E3" s="43"/>
      <c r="G3" s="215"/>
      <c r="H3" s="215"/>
      <c r="I3" s="215"/>
    </row>
    <row r="4" spans="1:9" s="3" customFormat="1" ht="17.25" customHeight="1" thickBot="1">
      <c r="D4" s="42"/>
      <c r="E4" s="42"/>
      <c r="F4" s="41"/>
      <c r="G4" s="215"/>
      <c r="H4" s="215"/>
      <c r="I4" s="215"/>
    </row>
    <row r="5" spans="1:9" s="3" customFormat="1" ht="56.25" customHeight="1" thickBot="1">
      <c r="A5" s="51" t="s">
        <v>89</v>
      </c>
      <c r="B5" s="51" t="s">
        <v>96</v>
      </c>
      <c r="C5" s="216" t="s">
        <v>87</v>
      </c>
      <c r="D5" s="217"/>
      <c r="E5" s="217"/>
      <c r="F5" s="218"/>
    </row>
    <row r="6" spans="1:9" s="3" customFormat="1" ht="15" customHeight="1">
      <c r="A6" s="219" t="s">
        <v>84</v>
      </c>
      <c r="B6" s="220"/>
      <c r="C6" s="225" t="s">
        <v>39</v>
      </c>
      <c r="D6" s="228" t="s">
        <v>94</v>
      </c>
      <c r="E6" s="230" t="s">
        <v>72</v>
      </c>
      <c r="F6" s="231"/>
    </row>
    <row r="7" spans="1:9" s="3" customFormat="1" ht="30.6" customHeight="1" thickBot="1">
      <c r="A7" s="221"/>
      <c r="B7" s="222"/>
      <c r="C7" s="226"/>
      <c r="D7" s="229"/>
      <c r="E7" s="232"/>
      <c r="F7" s="233"/>
    </row>
    <row r="8" spans="1:9" s="3" customFormat="1" ht="25.5" customHeight="1" thickBot="1">
      <c r="A8" s="221"/>
      <c r="B8" s="222"/>
      <c r="C8" s="226"/>
      <c r="D8" s="235" t="s">
        <v>85</v>
      </c>
      <c r="E8" s="234"/>
      <c r="F8" s="233"/>
    </row>
    <row r="9" spans="1:9" s="3" customFormat="1" ht="17.399999999999999" customHeight="1" thickBot="1">
      <c r="A9" s="223"/>
      <c r="B9" s="224"/>
      <c r="C9" s="227"/>
      <c r="D9" s="236"/>
      <c r="E9" s="33" t="s">
        <v>75</v>
      </c>
      <c r="F9" s="34" t="s">
        <v>73</v>
      </c>
    </row>
    <row r="10" spans="1:9" s="3" customFormat="1" ht="29.4" customHeight="1">
      <c r="A10" s="242">
        <v>1</v>
      </c>
      <c r="B10" s="244" t="s">
        <v>74</v>
      </c>
      <c r="C10" s="246">
        <v>15</v>
      </c>
      <c r="D10" s="60">
        <v>1888</v>
      </c>
      <c r="E10" s="211">
        <f>SUM(D10:D10)</f>
        <v>1888</v>
      </c>
      <c r="F10" s="213">
        <v>126</v>
      </c>
    </row>
    <row r="11" spans="1:9" s="3" customFormat="1" ht="29.4" customHeight="1" thickBot="1">
      <c r="A11" s="243"/>
      <c r="B11" s="245"/>
      <c r="C11" s="247"/>
      <c r="D11" s="59" t="s">
        <v>95</v>
      </c>
      <c r="E11" s="212"/>
      <c r="F11" s="214"/>
    </row>
    <row r="12" spans="1:9" s="3" customFormat="1" ht="39" customHeight="1" thickBot="1">
      <c r="A12" s="237" t="s">
        <v>88</v>
      </c>
      <c r="B12" s="238"/>
      <c r="C12" s="239"/>
      <c r="D12" s="44">
        <v>126</v>
      </c>
      <c r="E12" s="45" t="s">
        <v>90</v>
      </c>
      <c r="F12" s="46">
        <f>SUM(F10:F11)</f>
        <v>126</v>
      </c>
      <c r="G12" s="25"/>
      <c r="H12" s="25"/>
    </row>
    <row r="13" spans="1:9" s="3" customFormat="1" ht="17.399999999999999" customHeight="1" thickBot="1">
      <c r="A13" s="24"/>
      <c r="B13" s="24"/>
      <c r="C13" s="24"/>
      <c r="D13" s="25"/>
      <c r="E13" s="32"/>
      <c r="F13" s="31"/>
      <c r="G13" s="25"/>
      <c r="H13" s="25"/>
    </row>
    <row r="14" spans="1:9" s="3" customFormat="1" ht="34.5" customHeight="1" thickBot="1">
      <c r="A14" s="240" t="s">
        <v>49</v>
      </c>
      <c r="B14" s="241"/>
      <c r="C14" s="50" t="s">
        <v>53</v>
      </c>
      <c r="D14" s="50" t="s">
        <v>54</v>
      </c>
      <c r="E14" s="35" t="s">
        <v>77</v>
      </c>
      <c r="F14" s="26"/>
    </row>
    <row r="15" spans="1:9" s="3" customFormat="1" ht="28.2" customHeight="1" thickBot="1">
      <c r="A15" s="36" t="s">
        <v>78</v>
      </c>
      <c r="B15" s="52"/>
      <c r="C15" s="37"/>
      <c r="D15" s="37"/>
      <c r="E15" s="37"/>
      <c r="F15" s="26"/>
    </row>
    <row r="16" spans="1:9" s="3" customFormat="1" ht="28.2" customHeight="1" thickBot="1">
      <c r="A16" s="36" t="s">
        <v>80</v>
      </c>
      <c r="B16" s="52"/>
      <c r="C16" s="37"/>
      <c r="D16" s="37"/>
      <c r="E16" s="37"/>
      <c r="F16" s="26"/>
    </row>
    <row r="17" spans="1:6" s="3" customFormat="1" ht="28.2" customHeight="1" thickBot="1">
      <c r="A17" s="53" t="s">
        <v>82</v>
      </c>
      <c r="B17" s="38"/>
      <c r="C17" s="37"/>
      <c r="D17" s="37"/>
      <c r="E17" s="37"/>
      <c r="F17" s="26"/>
    </row>
    <row r="18" spans="1:6" s="3" customFormat="1" ht="15" customHeight="1">
      <c r="A18" s="27"/>
      <c r="B18" s="26"/>
      <c r="C18" s="26"/>
      <c r="D18" s="26"/>
      <c r="E18" s="26"/>
      <c r="F18" s="26"/>
    </row>
    <row r="19" spans="1:6" s="3" customFormat="1" ht="26.25" customHeight="1">
      <c r="A19" s="27"/>
      <c r="B19" s="26"/>
      <c r="C19" s="26"/>
      <c r="D19" s="48" t="s">
        <v>91</v>
      </c>
      <c r="E19" s="49">
        <f>F12</f>
        <v>126</v>
      </c>
      <c r="F19" s="47" t="s">
        <v>92</v>
      </c>
    </row>
    <row r="20" spans="1:6" s="3" customFormat="1" ht="29.4" customHeight="1" thickBot="1">
      <c r="D20" s="40"/>
      <c r="E20" s="28" t="s">
        <v>79</v>
      </c>
      <c r="F20" s="28"/>
    </row>
    <row r="21" spans="1:6" s="3" customFormat="1" ht="29.4" customHeight="1" thickBot="1">
      <c r="D21" s="26"/>
      <c r="E21" s="29" t="s">
        <v>81</v>
      </c>
      <c r="F21" s="29" t="s">
        <v>59</v>
      </c>
    </row>
    <row r="22" spans="1:6" s="3" customFormat="1" ht="29.4" customHeight="1" thickBot="1">
      <c r="D22" s="26"/>
      <c r="E22" s="29"/>
      <c r="F22" s="29"/>
    </row>
    <row r="23" spans="1:6" s="3" customFormat="1" ht="29.4" customHeight="1">
      <c r="D23" s="39"/>
      <c r="E23" s="28"/>
      <c r="F23" s="28"/>
    </row>
    <row r="24" spans="1:6" s="3" customFormat="1" ht="26.25" customHeight="1" thickBot="1">
      <c r="D24" s="39" t="s">
        <v>83</v>
      </c>
      <c r="E24" s="30"/>
      <c r="F24" s="30"/>
    </row>
    <row r="25" spans="1:6" s="3" customFormat="1" ht="15" customHeight="1">
      <c r="D25" s="26"/>
      <c r="E25" s="28"/>
      <c r="F25" s="28"/>
    </row>
  </sheetData>
  <mergeCells count="14">
    <mergeCell ref="A12:C12"/>
    <mergeCell ref="A14:B14"/>
    <mergeCell ref="A10:A11"/>
    <mergeCell ref="B10:B11"/>
    <mergeCell ref="C10:C11"/>
    <mergeCell ref="E10:E11"/>
    <mergeCell ref="F10:F11"/>
    <mergeCell ref="G3:I4"/>
    <mergeCell ref="C5:F5"/>
    <mergeCell ref="A6:B9"/>
    <mergeCell ref="C6:C9"/>
    <mergeCell ref="D6:D7"/>
    <mergeCell ref="E6:F8"/>
    <mergeCell ref="D8:D9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49"/>
  <sheetViews>
    <sheetView topLeftCell="A10" workbookViewId="0">
      <selection activeCell="D11" sqref="D11"/>
    </sheetView>
  </sheetViews>
  <sheetFormatPr defaultRowHeight="13.8"/>
  <cols>
    <col min="2" max="2" width="51.59765625" bestFit="1" customWidth="1"/>
    <col min="4" max="4" width="47.8984375" bestFit="1" customWidth="1"/>
    <col min="5" max="5" width="18" customWidth="1"/>
    <col min="6" max="6" width="13.8984375" customWidth="1"/>
  </cols>
  <sheetData>
    <row r="2" spans="1:9" s="3" customFormat="1" ht="15" customHeight="1"/>
    <row r="3" spans="1:9" s="3" customFormat="1" ht="30.75" customHeight="1">
      <c r="D3" s="43"/>
      <c r="E3" s="43"/>
      <c r="G3" s="215"/>
      <c r="H3" s="215"/>
      <c r="I3" s="215"/>
    </row>
    <row r="4" spans="1:9" s="3" customFormat="1" ht="17.25" customHeight="1" thickBot="1">
      <c r="D4" s="42"/>
      <c r="E4" s="42"/>
      <c r="F4" s="41"/>
      <c r="G4" s="215"/>
      <c r="H4" s="215"/>
      <c r="I4" s="215"/>
    </row>
    <row r="5" spans="1:9" s="3" customFormat="1" ht="56.25" customHeight="1" thickBot="1">
      <c r="A5" s="51" t="s">
        <v>89</v>
      </c>
      <c r="B5" s="51" t="s">
        <v>109</v>
      </c>
      <c r="C5" s="216" t="s">
        <v>87</v>
      </c>
      <c r="D5" s="217"/>
      <c r="E5" s="217"/>
      <c r="F5" s="218"/>
    </row>
    <row r="6" spans="1:9" s="3" customFormat="1" ht="15" customHeight="1">
      <c r="A6" s="219" t="s">
        <v>84</v>
      </c>
      <c r="B6" s="220"/>
      <c r="C6" s="225" t="s">
        <v>39</v>
      </c>
      <c r="D6" s="228" t="s">
        <v>94</v>
      </c>
      <c r="E6" s="230" t="s">
        <v>72</v>
      </c>
      <c r="F6" s="231"/>
    </row>
    <row r="7" spans="1:9" s="3" customFormat="1" ht="30.6" customHeight="1" thickBot="1">
      <c r="A7" s="221"/>
      <c r="B7" s="222"/>
      <c r="C7" s="226"/>
      <c r="D7" s="229"/>
      <c r="E7" s="232"/>
      <c r="F7" s="233"/>
    </row>
    <row r="8" spans="1:9" s="3" customFormat="1" ht="25.5" customHeight="1" thickBot="1">
      <c r="A8" s="221"/>
      <c r="B8" s="222"/>
      <c r="C8" s="226"/>
      <c r="D8" s="235" t="s">
        <v>85</v>
      </c>
      <c r="E8" s="234"/>
      <c r="F8" s="233"/>
    </row>
    <row r="9" spans="1:9" s="3" customFormat="1" ht="17.399999999999999" customHeight="1" thickBot="1">
      <c r="A9" s="223"/>
      <c r="B9" s="224"/>
      <c r="C9" s="227"/>
      <c r="D9" s="236"/>
      <c r="E9" s="33" t="s">
        <v>75</v>
      </c>
      <c r="F9" s="34" t="s">
        <v>73</v>
      </c>
    </row>
    <row r="10" spans="1:9" s="3" customFormat="1" ht="29.4" customHeight="1">
      <c r="A10" s="242">
        <v>1</v>
      </c>
      <c r="B10" s="248" t="s">
        <v>61</v>
      </c>
      <c r="C10" s="242">
        <v>32</v>
      </c>
      <c r="D10" s="54">
        <v>566</v>
      </c>
      <c r="E10" s="211">
        <f>SUM(D10:D10)</f>
        <v>566</v>
      </c>
      <c r="F10" s="213">
        <v>18</v>
      </c>
    </row>
    <row r="11" spans="1:9" s="3" customFormat="1" ht="29.4" customHeight="1" thickBot="1">
      <c r="A11" s="243"/>
      <c r="B11" s="249"/>
      <c r="C11" s="243"/>
      <c r="D11" s="55" t="s">
        <v>97</v>
      </c>
      <c r="E11" s="212"/>
      <c r="F11" s="214"/>
    </row>
    <row r="12" spans="1:9" s="3" customFormat="1" ht="29.4" hidden="1" customHeight="1">
      <c r="A12" s="242">
        <v>2</v>
      </c>
      <c r="B12" s="244" t="s">
        <v>76</v>
      </c>
      <c r="C12" s="246">
        <v>14</v>
      </c>
      <c r="D12" s="54"/>
      <c r="E12" s="250">
        <f>SUM(D12:D12)</f>
        <v>0</v>
      </c>
      <c r="F12" s="213">
        <f>มหาชัย!C11</f>
        <v>12</v>
      </c>
    </row>
    <row r="13" spans="1:9" s="3" customFormat="1" ht="29.4" hidden="1" customHeight="1">
      <c r="A13" s="243"/>
      <c r="B13" s="245"/>
      <c r="C13" s="253"/>
      <c r="D13" s="56" t="str">
        <f>IF(D12=0, "", IF(MOD(D12, $C$11) = 0, D12 / $C$11, IF(INT(D12 / $C$11) = 0, MOD(D12, $C$11) &amp; " P", INT(D12 / $C$11) &amp; " + " &amp; MOD(D12, $C$11) &amp; " P")))</f>
        <v/>
      </c>
      <c r="E13" s="251"/>
      <c r="F13" s="214"/>
    </row>
    <row r="14" spans="1:9" s="3" customFormat="1" ht="29.4" customHeight="1">
      <c r="A14" s="242">
        <v>2</v>
      </c>
      <c r="B14" s="248" t="s">
        <v>62</v>
      </c>
      <c r="C14" s="242">
        <v>32</v>
      </c>
      <c r="D14" s="54">
        <v>275</v>
      </c>
      <c r="E14" s="250">
        <f>SUM(D14:D14)</f>
        <v>275</v>
      </c>
      <c r="F14" s="213" t="e">
        <f>มหาชัย!#REF!</f>
        <v>#REF!</v>
      </c>
    </row>
    <row r="15" spans="1:9" s="3" customFormat="1" ht="29.4" customHeight="1" thickBot="1">
      <c r="A15" s="243"/>
      <c r="B15" s="249"/>
      <c r="C15" s="243"/>
      <c r="D15" s="56" t="s">
        <v>98</v>
      </c>
      <c r="E15" s="251"/>
      <c r="F15" s="214"/>
    </row>
    <row r="16" spans="1:9" s="3" customFormat="1" ht="29.4" customHeight="1">
      <c r="A16" s="242">
        <v>3</v>
      </c>
      <c r="B16" s="248" t="s">
        <v>86</v>
      </c>
      <c r="C16" s="252">
        <v>27</v>
      </c>
      <c r="D16" s="57">
        <v>228</v>
      </c>
      <c r="E16" s="250">
        <f>SUM(D16:D16)</f>
        <v>228</v>
      </c>
      <c r="F16" s="213">
        <v>9</v>
      </c>
    </row>
    <row r="17" spans="1:6" s="3" customFormat="1" ht="29.4" customHeight="1" thickBot="1">
      <c r="A17" s="243"/>
      <c r="B17" s="249"/>
      <c r="C17" s="247"/>
      <c r="D17" s="56" t="s">
        <v>99</v>
      </c>
      <c r="E17" s="251"/>
      <c r="F17" s="214"/>
    </row>
    <row r="18" spans="1:6" s="3" customFormat="1" ht="29.4" customHeight="1">
      <c r="A18" s="242">
        <v>4</v>
      </c>
      <c r="B18" s="244" t="s">
        <v>63</v>
      </c>
      <c r="C18" s="246">
        <v>36</v>
      </c>
      <c r="D18" s="54">
        <v>181</v>
      </c>
      <c r="E18" s="250">
        <f>SUM(D18:D18)</f>
        <v>181</v>
      </c>
      <c r="F18" s="213">
        <v>6</v>
      </c>
    </row>
    <row r="19" spans="1:6" s="3" customFormat="1" ht="29.4" customHeight="1" thickBot="1">
      <c r="A19" s="243"/>
      <c r="B19" s="245"/>
      <c r="C19" s="247"/>
      <c r="D19" s="58" t="s">
        <v>100</v>
      </c>
      <c r="E19" s="251"/>
      <c r="F19" s="214"/>
    </row>
    <row r="20" spans="1:6" s="3" customFormat="1" ht="29.4" customHeight="1">
      <c r="A20" s="242">
        <v>5</v>
      </c>
      <c r="B20" s="244" t="s">
        <v>64</v>
      </c>
      <c r="C20" s="246">
        <v>15</v>
      </c>
      <c r="D20" s="54">
        <v>272</v>
      </c>
      <c r="E20" s="250">
        <f>SUM(D20:D20)</f>
        <v>272</v>
      </c>
      <c r="F20" s="213">
        <v>19</v>
      </c>
    </row>
    <row r="21" spans="1:6" s="3" customFormat="1" ht="29.4" customHeight="1" thickBot="1">
      <c r="A21" s="243"/>
      <c r="B21" s="245"/>
      <c r="C21" s="247"/>
      <c r="D21" s="58" t="s">
        <v>101</v>
      </c>
      <c r="E21" s="251"/>
      <c r="F21" s="214"/>
    </row>
    <row r="22" spans="1:6" s="3" customFormat="1" ht="29.4" customHeight="1">
      <c r="A22" s="242">
        <v>6</v>
      </c>
      <c r="B22" s="244" t="s">
        <v>65</v>
      </c>
      <c r="C22" s="246">
        <v>45</v>
      </c>
      <c r="D22" s="54">
        <v>24</v>
      </c>
      <c r="E22" s="250">
        <f>SUM(D22:D22)</f>
        <v>24</v>
      </c>
      <c r="F22" s="213">
        <v>1</v>
      </c>
    </row>
    <row r="23" spans="1:6" s="3" customFormat="1" ht="29.4" customHeight="1" thickBot="1">
      <c r="A23" s="243"/>
      <c r="B23" s="245"/>
      <c r="C23" s="247"/>
      <c r="D23" s="59" t="s">
        <v>102</v>
      </c>
      <c r="E23" s="212"/>
      <c r="F23" s="214"/>
    </row>
    <row r="24" spans="1:6" s="3" customFormat="1" ht="29.4" customHeight="1">
      <c r="A24" s="242">
        <v>7</v>
      </c>
      <c r="B24" s="244" t="s">
        <v>93</v>
      </c>
      <c r="C24" s="246">
        <v>27</v>
      </c>
      <c r="D24" s="60">
        <v>390</v>
      </c>
      <c r="E24" s="211">
        <f>SUM(D24:D24)</f>
        <v>390</v>
      </c>
      <c r="F24" s="213">
        <v>15</v>
      </c>
    </row>
    <row r="25" spans="1:6" s="3" customFormat="1" ht="29.4" customHeight="1" thickBot="1">
      <c r="A25" s="243"/>
      <c r="B25" s="245"/>
      <c r="C25" s="247"/>
      <c r="D25" s="59" t="s">
        <v>103</v>
      </c>
      <c r="E25" s="212"/>
      <c r="F25" s="214"/>
    </row>
    <row r="26" spans="1:6" s="3" customFormat="1" ht="29.4" customHeight="1">
      <c r="A26" s="242">
        <v>8</v>
      </c>
      <c r="B26" s="244" t="s">
        <v>66</v>
      </c>
      <c r="C26" s="246">
        <v>15</v>
      </c>
      <c r="D26" s="60">
        <v>40</v>
      </c>
      <c r="E26" s="211">
        <f>SUM(D26:D26)</f>
        <v>40</v>
      </c>
      <c r="F26" s="213">
        <v>3</v>
      </c>
    </row>
    <row r="27" spans="1:6" s="3" customFormat="1" ht="29.4" customHeight="1" thickBot="1">
      <c r="A27" s="243"/>
      <c r="B27" s="245"/>
      <c r="C27" s="247"/>
      <c r="D27" s="59" t="s">
        <v>104</v>
      </c>
      <c r="E27" s="212"/>
      <c r="F27" s="214"/>
    </row>
    <row r="28" spans="1:6" s="3" customFormat="1" ht="29.4" customHeight="1">
      <c r="A28" s="242">
        <v>9</v>
      </c>
      <c r="B28" s="244" t="s">
        <v>67</v>
      </c>
      <c r="C28" s="246">
        <v>27</v>
      </c>
      <c r="D28" s="60">
        <v>172</v>
      </c>
      <c r="E28" s="211">
        <f>SUM(D28:D28)</f>
        <v>172</v>
      </c>
      <c r="F28" s="213">
        <v>7</v>
      </c>
    </row>
    <row r="29" spans="1:6" s="3" customFormat="1" ht="29.4" customHeight="1" thickBot="1">
      <c r="A29" s="243"/>
      <c r="B29" s="245"/>
      <c r="C29" s="247"/>
      <c r="D29" s="59" t="s">
        <v>105</v>
      </c>
      <c r="E29" s="212"/>
      <c r="F29" s="214"/>
    </row>
    <row r="30" spans="1:6" s="3" customFormat="1" ht="29.4" customHeight="1">
      <c r="A30" s="242">
        <v>10</v>
      </c>
      <c r="B30" s="244" t="s">
        <v>68</v>
      </c>
      <c r="C30" s="246">
        <v>20</v>
      </c>
      <c r="D30" s="60">
        <v>239</v>
      </c>
      <c r="E30" s="211">
        <f>SUM(D30:D30)</f>
        <v>239</v>
      </c>
      <c r="F30" s="213">
        <v>12</v>
      </c>
    </row>
    <row r="31" spans="1:6" s="3" customFormat="1" ht="29.4" customHeight="1" thickBot="1">
      <c r="A31" s="243"/>
      <c r="B31" s="245"/>
      <c r="C31" s="247"/>
      <c r="D31" s="59" t="s">
        <v>106</v>
      </c>
      <c r="E31" s="212"/>
      <c r="F31" s="214"/>
    </row>
    <row r="32" spans="1:6" s="3" customFormat="1" ht="29.4" customHeight="1">
      <c r="A32" s="242">
        <v>11</v>
      </c>
      <c r="B32" s="244" t="s">
        <v>69</v>
      </c>
      <c r="C32" s="246">
        <v>32</v>
      </c>
      <c r="D32" s="60">
        <v>121</v>
      </c>
      <c r="E32" s="211">
        <f>SUM(D32:D32)</f>
        <v>121</v>
      </c>
      <c r="F32" s="213">
        <v>4</v>
      </c>
    </row>
    <row r="33" spans="1:8" s="3" customFormat="1" ht="29.4" customHeight="1" thickBot="1">
      <c r="A33" s="243"/>
      <c r="B33" s="245"/>
      <c r="C33" s="247"/>
      <c r="D33" s="59" t="s">
        <v>107</v>
      </c>
      <c r="E33" s="212"/>
      <c r="F33" s="214"/>
    </row>
    <row r="34" spans="1:8" s="3" customFormat="1" ht="29.4" customHeight="1">
      <c r="A34" s="242">
        <v>12</v>
      </c>
      <c r="B34" s="248" t="s">
        <v>70</v>
      </c>
      <c r="C34" s="242">
        <v>45</v>
      </c>
      <c r="D34" s="60">
        <v>54</v>
      </c>
      <c r="E34" s="211">
        <f>SUM(D34:D34)</f>
        <v>54</v>
      </c>
      <c r="F34" s="213">
        <v>2</v>
      </c>
    </row>
    <row r="35" spans="1:8" s="3" customFormat="1" ht="29.4" customHeight="1" thickBot="1">
      <c r="A35" s="243"/>
      <c r="B35" s="249"/>
      <c r="C35" s="243"/>
      <c r="D35" s="59" t="s">
        <v>108</v>
      </c>
      <c r="E35" s="212"/>
      <c r="F35" s="214"/>
    </row>
    <row r="36" spans="1:8" s="3" customFormat="1" ht="39" customHeight="1" thickBot="1">
      <c r="A36" s="237" t="s">
        <v>88</v>
      </c>
      <c r="B36" s="238"/>
      <c r="C36" s="239"/>
      <c r="D36" s="44">
        <v>105</v>
      </c>
      <c r="E36" s="45" t="s">
        <v>90</v>
      </c>
      <c r="F36" s="46">
        <v>105</v>
      </c>
      <c r="G36" s="25"/>
      <c r="H36" s="25"/>
    </row>
    <row r="37" spans="1:8" s="3" customFormat="1" ht="17.399999999999999" customHeight="1" thickBot="1">
      <c r="A37" s="24"/>
      <c r="B37" s="24"/>
      <c r="C37" s="24"/>
      <c r="D37" s="25"/>
      <c r="E37" s="32"/>
      <c r="F37" s="31"/>
      <c r="G37" s="25"/>
      <c r="H37" s="25"/>
    </row>
    <row r="38" spans="1:8" s="3" customFormat="1" ht="34.5" customHeight="1" thickBot="1">
      <c r="A38" s="240" t="s">
        <v>49</v>
      </c>
      <c r="B38" s="241"/>
      <c r="C38" s="50" t="s">
        <v>53</v>
      </c>
      <c r="D38" s="50" t="s">
        <v>54</v>
      </c>
      <c r="E38" s="35" t="s">
        <v>77</v>
      </c>
      <c r="F38" s="26"/>
    </row>
    <row r="39" spans="1:8" s="3" customFormat="1" ht="28.2" customHeight="1" thickBot="1">
      <c r="A39" s="36" t="s">
        <v>78</v>
      </c>
      <c r="B39" s="52"/>
      <c r="C39" s="37"/>
      <c r="D39" s="37"/>
      <c r="E39" s="37"/>
      <c r="F39" s="26"/>
    </row>
    <row r="40" spans="1:8" s="3" customFormat="1" ht="28.2" customHeight="1" thickBot="1">
      <c r="A40" s="36" t="s">
        <v>80</v>
      </c>
      <c r="B40" s="52"/>
      <c r="C40" s="37"/>
      <c r="D40" s="37"/>
      <c r="E40" s="37"/>
      <c r="F40" s="26"/>
    </row>
    <row r="41" spans="1:8" s="3" customFormat="1" ht="28.2" customHeight="1" thickBot="1">
      <c r="A41" s="53" t="s">
        <v>82</v>
      </c>
      <c r="B41" s="38"/>
      <c r="C41" s="37"/>
      <c r="D41" s="37"/>
      <c r="E41" s="37"/>
      <c r="F41" s="26"/>
    </row>
    <row r="42" spans="1:8" s="3" customFormat="1" ht="15" customHeight="1">
      <c r="A42" s="27"/>
      <c r="B42" s="26"/>
      <c r="C42" s="26"/>
      <c r="D42" s="26"/>
      <c r="E42" s="26"/>
      <c r="F42" s="26"/>
    </row>
    <row r="43" spans="1:8" s="3" customFormat="1" ht="26.25" customHeight="1">
      <c r="A43" s="27"/>
      <c r="B43" s="26"/>
      <c r="C43" s="26"/>
      <c r="D43" s="48" t="s">
        <v>91</v>
      </c>
      <c r="E43" s="49">
        <f>F36</f>
        <v>105</v>
      </c>
      <c r="F43" s="47" t="s">
        <v>92</v>
      </c>
    </row>
    <row r="44" spans="1:8" s="3" customFormat="1" ht="29.4" customHeight="1" thickBot="1">
      <c r="D44" s="40"/>
      <c r="E44" s="28" t="s">
        <v>79</v>
      </c>
      <c r="F44" s="28"/>
    </row>
    <row r="45" spans="1:8" s="3" customFormat="1" ht="29.4" customHeight="1" thickBot="1">
      <c r="D45" s="26"/>
      <c r="E45" s="29" t="s">
        <v>81</v>
      </c>
      <c r="F45" s="29" t="s">
        <v>59</v>
      </c>
    </row>
    <row r="46" spans="1:8" s="3" customFormat="1" ht="29.4" customHeight="1" thickBot="1">
      <c r="D46" s="26"/>
      <c r="E46" s="29"/>
      <c r="F46" s="29"/>
    </row>
    <row r="47" spans="1:8" s="3" customFormat="1" ht="29.4" customHeight="1">
      <c r="D47" s="39"/>
      <c r="E47" s="28"/>
      <c r="F47" s="28"/>
    </row>
    <row r="48" spans="1:8" s="3" customFormat="1" ht="26.25" customHeight="1" thickBot="1">
      <c r="D48" s="39" t="s">
        <v>83</v>
      </c>
      <c r="E48" s="30"/>
      <c r="F48" s="30"/>
    </row>
    <row r="49" spans="4:6" s="3" customFormat="1" ht="15" customHeight="1">
      <c r="D49" s="26"/>
      <c r="E49" s="28"/>
      <c r="F49" s="28"/>
    </row>
  </sheetData>
  <mergeCells count="74">
    <mergeCell ref="G3:I4"/>
    <mergeCell ref="C5:F5"/>
    <mergeCell ref="A6:B9"/>
    <mergeCell ref="C6:C9"/>
    <mergeCell ref="D6:D7"/>
    <mergeCell ref="E6:F8"/>
    <mergeCell ref="D8:D9"/>
    <mergeCell ref="A12:A13"/>
    <mergeCell ref="B12:B13"/>
    <mergeCell ref="C12:C13"/>
    <mergeCell ref="E12:E13"/>
    <mergeCell ref="F12:F13"/>
    <mergeCell ref="A10:A11"/>
    <mergeCell ref="B10:B11"/>
    <mergeCell ref="C10:C11"/>
    <mergeCell ref="E10:E11"/>
    <mergeCell ref="F10:F11"/>
    <mergeCell ref="A16:A17"/>
    <mergeCell ref="B16:B17"/>
    <mergeCell ref="C16:C17"/>
    <mergeCell ref="E16:E17"/>
    <mergeCell ref="F16:F17"/>
    <mergeCell ref="A14:A15"/>
    <mergeCell ref="B14:B15"/>
    <mergeCell ref="C14:C15"/>
    <mergeCell ref="E14:E15"/>
    <mergeCell ref="F14:F15"/>
    <mergeCell ref="A20:A21"/>
    <mergeCell ref="B20:B21"/>
    <mergeCell ref="C20:C21"/>
    <mergeCell ref="E20:E21"/>
    <mergeCell ref="F20:F21"/>
    <mergeCell ref="A18:A19"/>
    <mergeCell ref="B18:B19"/>
    <mergeCell ref="C18:C19"/>
    <mergeCell ref="E18:E19"/>
    <mergeCell ref="F18:F19"/>
    <mergeCell ref="A22:A23"/>
    <mergeCell ref="B22:B23"/>
    <mergeCell ref="C22:C23"/>
    <mergeCell ref="E22:E23"/>
    <mergeCell ref="F22:F23"/>
    <mergeCell ref="A26:A27"/>
    <mergeCell ref="B26:B27"/>
    <mergeCell ref="C26:C27"/>
    <mergeCell ref="E26:E27"/>
    <mergeCell ref="F26:F27"/>
    <mergeCell ref="A24:A25"/>
    <mergeCell ref="B24:B25"/>
    <mergeCell ref="C24:C25"/>
    <mergeCell ref="E24:E25"/>
    <mergeCell ref="F24:F25"/>
    <mergeCell ref="A30:A31"/>
    <mergeCell ref="B30:B31"/>
    <mergeCell ref="C30:C31"/>
    <mergeCell ref="E30:E31"/>
    <mergeCell ref="F30:F31"/>
    <mergeCell ref="A28:A29"/>
    <mergeCell ref="B28:B29"/>
    <mergeCell ref="C28:C29"/>
    <mergeCell ref="E28:E29"/>
    <mergeCell ref="F28:F29"/>
    <mergeCell ref="E32:E33"/>
    <mergeCell ref="F32:F33"/>
    <mergeCell ref="A34:A35"/>
    <mergeCell ref="B34:B35"/>
    <mergeCell ref="C34:C35"/>
    <mergeCell ref="E34:E35"/>
    <mergeCell ref="F34:F35"/>
    <mergeCell ref="A36:C36"/>
    <mergeCell ref="A38:B38"/>
    <mergeCell ref="A32:A33"/>
    <mergeCell ref="B32:B33"/>
    <mergeCell ref="C32:C33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มหาชัย-ผลิต</vt:lpstr>
      <vt:lpstr>มหาชัย</vt:lpstr>
      <vt:lpstr>คันที่ 2</vt:lpstr>
      <vt:lpstr>คันที่ 1</vt:lpstr>
      <vt:lpstr>'คันที่ 1'!Print_Area</vt:lpstr>
      <vt:lpstr>'คันที่ 2'!Print_Area</vt:lpstr>
      <vt:lpstr>'มหาชัย-ผลิต'!Print_Area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user</cp:lastModifiedBy>
  <cp:lastPrinted>2026-08-18T08:06:51Z</cp:lastPrinted>
  <dcterms:created xsi:type="dcterms:W3CDTF">2025-08-23T13:26:05Z</dcterms:created>
  <dcterms:modified xsi:type="dcterms:W3CDTF">2026-08-18T08:07:24Z</dcterms:modified>
</cp:coreProperties>
</file>