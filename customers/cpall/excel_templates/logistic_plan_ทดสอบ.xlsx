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"/>
    </mc:Choice>
  </mc:AlternateContent>
  <xr:revisionPtr revIDLastSave="0" documentId="13_ncr:1_{A6C10D26-A728-48D3-BCF5-6DB5DA94FA0A}" xr6:coauthVersionLast="47" xr6:coauthVersionMax="47" xr10:uidLastSave="{00000000-0000-0000-0000-000000000000}"/>
  <bookViews>
    <workbookView xWindow="3144" yWindow="2064" windowWidth="17172" windowHeight="9960" tabRatio="582" xr2:uid="{00000000-000D-0000-FFFF-FFFF00000000}"/>
  </bookViews>
  <sheets>
    <sheet name="ทดสอบ" sheetId="5" r:id="rId1"/>
    <sheet name="บางบัวทอง-ผลิต (2)" sheetId="17" state="hidden" r:id="rId2"/>
    <sheet name="บางบัวทอง-ผลิต (4)" sheetId="16" state="hidden" r:id="rId3"/>
    <sheet name="บางบัวทอง-รถ" sheetId="3" r:id="rId4"/>
    <sheet name="Sheet2" sheetId="7" r:id="rId5"/>
  </sheets>
  <externalReferences>
    <externalReference r:id="rId6"/>
  </externalReferences>
  <definedNames>
    <definedName name="_xlnm.Print_Area" localSheetId="0">ทดสอบ!$B$9:$R$58</definedName>
    <definedName name="_xlnm.Print_Area" localSheetId="1">'บางบัวทอง-ผลิต (2)'!$B$10:$R$54</definedName>
    <definedName name="_xlnm.Print_Area" localSheetId="2">'บางบัวทอง-ผลิต (4)'!$B$10:$R$54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5" l="1"/>
  <c r="H51" i="5"/>
  <c r="G51" i="5"/>
  <c r="F51" i="5"/>
  <c r="E51" i="5"/>
  <c r="J51" i="5"/>
  <c r="K51" i="5"/>
  <c r="L51" i="5"/>
  <c r="M51" i="5"/>
  <c r="N51" i="5"/>
  <c r="O51" i="5"/>
  <c r="P51" i="5"/>
  <c r="F46" i="5"/>
  <c r="F18" i="5" l="1"/>
  <c r="G18" i="5"/>
  <c r="H18" i="5"/>
  <c r="I18" i="5"/>
  <c r="J18" i="5"/>
  <c r="K18" i="5"/>
  <c r="L18" i="5"/>
  <c r="M18" i="5"/>
  <c r="N18" i="5"/>
  <c r="O18" i="5"/>
  <c r="P18" i="5"/>
  <c r="E18" i="5"/>
  <c r="E20" i="5"/>
  <c r="F20" i="5"/>
  <c r="G20" i="5"/>
  <c r="H20" i="5"/>
  <c r="I20" i="5"/>
  <c r="J20" i="5"/>
  <c r="K20" i="5"/>
  <c r="L20" i="5"/>
  <c r="M20" i="5"/>
  <c r="N20" i="5"/>
  <c r="O20" i="5"/>
  <c r="P20" i="5"/>
  <c r="E26" i="3"/>
  <c r="F26" i="3"/>
  <c r="G26" i="3"/>
  <c r="H26" i="3"/>
  <c r="I26" i="3"/>
  <c r="J26" i="3"/>
  <c r="K26" i="3"/>
  <c r="L26" i="3"/>
  <c r="M26" i="3"/>
  <c r="N26" i="3"/>
  <c r="O26" i="3"/>
  <c r="D26" i="3"/>
  <c r="E27" i="3"/>
  <c r="F27" i="3"/>
  <c r="G27" i="3"/>
  <c r="H27" i="3"/>
  <c r="I27" i="3"/>
  <c r="J27" i="3"/>
  <c r="K27" i="3"/>
  <c r="L27" i="3"/>
  <c r="M27" i="3"/>
  <c r="N27" i="3"/>
  <c r="O27" i="3"/>
  <c r="D27" i="3"/>
  <c r="F48" i="5"/>
  <c r="G48" i="5"/>
  <c r="H48" i="5"/>
  <c r="I48" i="5"/>
  <c r="J48" i="5"/>
  <c r="K48" i="5"/>
  <c r="L48" i="5"/>
  <c r="M48" i="5"/>
  <c r="N48" i="5"/>
  <c r="O48" i="5"/>
  <c r="P48" i="5"/>
  <c r="E48" i="5"/>
  <c r="AK47" i="5"/>
  <c r="Z47" i="5"/>
  <c r="Y47" i="5"/>
  <c r="X47" i="5"/>
  <c r="W47" i="5"/>
  <c r="V47" i="5"/>
  <c r="Q47" i="5"/>
  <c r="T47" i="5" s="1"/>
  <c r="F32" i="5"/>
  <c r="G32" i="5"/>
  <c r="H32" i="5"/>
  <c r="I32" i="5"/>
  <c r="J32" i="5"/>
  <c r="K32" i="5"/>
  <c r="L32" i="5"/>
  <c r="M32" i="5"/>
  <c r="N32" i="5"/>
  <c r="O32" i="5"/>
  <c r="P32" i="5"/>
  <c r="E32" i="5"/>
  <c r="Q21" i="5"/>
  <c r="E24" i="3"/>
  <c r="F24" i="3"/>
  <c r="G24" i="3"/>
  <c r="H24" i="3"/>
  <c r="I24" i="3"/>
  <c r="J24" i="3"/>
  <c r="K24" i="3"/>
  <c r="L24" i="3"/>
  <c r="M24" i="3"/>
  <c r="N24" i="3"/>
  <c r="O24" i="3"/>
  <c r="D24" i="3"/>
  <c r="P36" i="5"/>
  <c r="P22" i="5"/>
  <c r="F44" i="5"/>
  <c r="G44" i="5"/>
  <c r="H44" i="5"/>
  <c r="I44" i="5"/>
  <c r="J44" i="5"/>
  <c r="K44" i="5"/>
  <c r="L44" i="5"/>
  <c r="M44" i="5"/>
  <c r="N44" i="5"/>
  <c r="O44" i="5"/>
  <c r="P44" i="5"/>
  <c r="E44" i="5"/>
  <c r="C27" i="3" l="1" a="1"/>
  <c r="C27" i="3" s="1"/>
  <c r="R49" i="5" s="1"/>
  <c r="G46" i="5"/>
  <c r="H46" i="5"/>
  <c r="I46" i="5"/>
  <c r="J46" i="5"/>
  <c r="K46" i="5"/>
  <c r="L46" i="5"/>
  <c r="M46" i="5"/>
  <c r="N46" i="5"/>
  <c r="O46" i="5"/>
  <c r="P46" i="5"/>
  <c r="E46" i="5"/>
  <c r="E25" i="3"/>
  <c r="F25" i="3"/>
  <c r="G25" i="3"/>
  <c r="H25" i="3"/>
  <c r="I25" i="3"/>
  <c r="J25" i="3"/>
  <c r="K25" i="3"/>
  <c r="L25" i="3"/>
  <c r="M25" i="3"/>
  <c r="N25" i="3"/>
  <c r="O25" i="3"/>
  <c r="D25" i="3"/>
  <c r="AK43" i="5"/>
  <c r="Z43" i="5"/>
  <c r="Y43" i="5"/>
  <c r="X43" i="5"/>
  <c r="W43" i="5"/>
  <c r="V43" i="5"/>
  <c r="Q43" i="5"/>
  <c r="T43" i="5" s="1"/>
  <c r="AK45" i="5"/>
  <c r="Z45" i="5"/>
  <c r="Y45" i="5"/>
  <c r="X45" i="5"/>
  <c r="W45" i="5"/>
  <c r="V45" i="5"/>
  <c r="Q45" i="5"/>
  <c r="T45" i="5" s="1"/>
  <c r="O34" i="5"/>
  <c r="C24" i="3" l="1" a="1"/>
  <c r="C24" i="3" s="1"/>
  <c r="C25" i="3" a="1"/>
  <c r="C25" i="3" s="1"/>
  <c r="R45" i="5" s="1"/>
  <c r="N38" i="5"/>
  <c r="H34" i="5"/>
  <c r="H36" i="5"/>
  <c r="H38" i="5"/>
  <c r="H40" i="5"/>
  <c r="V29" i="5"/>
  <c r="W29" i="5"/>
  <c r="X29" i="5"/>
  <c r="Y29" i="5"/>
  <c r="Z29" i="5"/>
  <c r="R43" i="5" l="1"/>
  <c r="P44" i="17"/>
  <c r="O44" i="17"/>
  <c r="N44" i="17"/>
  <c r="M44" i="17"/>
  <c r="L44" i="17"/>
  <c r="K44" i="17"/>
  <c r="J44" i="17"/>
  <c r="I44" i="17"/>
  <c r="H44" i="17"/>
  <c r="G44" i="17"/>
  <c r="F44" i="17"/>
  <c r="E44" i="17"/>
  <c r="AK43" i="17"/>
  <c r="Z43" i="17"/>
  <c r="Y43" i="17"/>
  <c r="X43" i="17"/>
  <c r="W43" i="17"/>
  <c r="V43" i="17"/>
  <c r="Q43" i="17"/>
  <c r="T43" i="17" s="1"/>
  <c r="P42" i="17"/>
  <c r="O42" i="17"/>
  <c r="N42" i="17"/>
  <c r="M42" i="17"/>
  <c r="L42" i="17"/>
  <c r="K42" i="17"/>
  <c r="J42" i="17"/>
  <c r="I42" i="17"/>
  <c r="H42" i="17"/>
  <c r="G42" i="17"/>
  <c r="F42" i="17"/>
  <c r="E42" i="17"/>
  <c r="AK41" i="17"/>
  <c r="Z41" i="17"/>
  <c r="Y41" i="17"/>
  <c r="X41" i="17"/>
  <c r="W41" i="17"/>
  <c r="V41" i="17"/>
  <c r="Q41" i="17"/>
  <c r="T41" i="17" s="1"/>
  <c r="P40" i="17"/>
  <c r="O40" i="17"/>
  <c r="N40" i="17"/>
  <c r="M40" i="17"/>
  <c r="L40" i="17"/>
  <c r="K40" i="17"/>
  <c r="J40" i="17"/>
  <c r="I40" i="17"/>
  <c r="H40" i="17"/>
  <c r="G40" i="17"/>
  <c r="F40" i="17"/>
  <c r="E40" i="17"/>
  <c r="AK39" i="17"/>
  <c r="Z39" i="17"/>
  <c r="Y39" i="17"/>
  <c r="X39" i="17"/>
  <c r="W39" i="17"/>
  <c r="V39" i="17"/>
  <c r="Q39" i="17"/>
  <c r="T39" i="17" s="1"/>
  <c r="P38" i="17"/>
  <c r="O38" i="17"/>
  <c r="N38" i="17"/>
  <c r="M38" i="17"/>
  <c r="L38" i="17"/>
  <c r="K38" i="17"/>
  <c r="J38" i="17"/>
  <c r="I38" i="17"/>
  <c r="H38" i="17"/>
  <c r="G38" i="17"/>
  <c r="F38" i="17"/>
  <c r="E38" i="17"/>
  <c r="AK37" i="17"/>
  <c r="Z37" i="17"/>
  <c r="Y37" i="17"/>
  <c r="X37" i="17"/>
  <c r="W37" i="17"/>
  <c r="V37" i="17"/>
  <c r="T37" i="17"/>
  <c r="Q37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AK35" i="17"/>
  <c r="Z35" i="17"/>
  <c r="Y35" i="17"/>
  <c r="X35" i="17"/>
  <c r="W35" i="17"/>
  <c r="V35" i="17"/>
  <c r="Q35" i="17"/>
  <c r="T35" i="17" s="1"/>
  <c r="P34" i="17"/>
  <c r="O34" i="17"/>
  <c r="N34" i="17"/>
  <c r="M34" i="17"/>
  <c r="L34" i="17"/>
  <c r="K34" i="17"/>
  <c r="J34" i="17"/>
  <c r="I34" i="17"/>
  <c r="H34" i="17"/>
  <c r="G34" i="17"/>
  <c r="F34" i="17"/>
  <c r="E34" i="17"/>
  <c r="AK33" i="17"/>
  <c r="Z33" i="17"/>
  <c r="Y33" i="17"/>
  <c r="X33" i="17"/>
  <c r="W33" i="17"/>
  <c r="V33" i="17"/>
  <c r="Q33" i="17"/>
  <c r="T33" i="17" s="1"/>
  <c r="P32" i="17"/>
  <c r="O32" i="17"/>
  <c r="N32" i="17"/>
  <c r="M32" i="17"/>
  <c r="L32" i="17"/>
  <c r="K32" i="17"/>
  <c r="J32" i="17"/>
  <c r="I32" i="17"/>
  <c r="H32" i="17"/>
  <c r="G32" i="17"/>
  <c r="F32" i="17"/>
  <c r="E32" i="17"/>
  <c r="AK31" i="17"/>
  <c r="Z31" i="17"/>
  <c r="Y31" i="17"/>
  <c r="X31" i="17"/>
  <c r="W31" i="17"/>
  <c r="V31" i="17"/>
  <c r="Q31" i="17"/>
  <c r="T31" i="17" s="1"/>
  <c r="P30" i="17"/>
  <c r="O30" i="17"/>
  <c r="N30" i="17"/>
  <c r="M30" i="17"/>
  <c r="L30" i="17"/>
  <c r="K30" i="17"/>
  <c r="J30" i="17"/>
  <c r="I30" i="17"/>
  <c r="H30" i="17"/>
  <c r="G30" i="17"/>
  <c r="F30" i="17"/>
  <c r="E30" i="17"/>
  <c r="AK29" i="17"/>
  <c r="Z29" i="17"/>
  <c r="Y29" i="17"/>
  <c r="X29" i="17"/>
  <c r="W29" i="17"/>
  <c r="V29" i="17"/>
  <c r="Q29" i="17"/>
  <c r="T29" i="17" s="1"/>
  <c r="P28" i="17"/>
  <c r="O28" i="17"/>
  <c r="N28" i="17"/>
  <c r="M28" i="17"/>
  <c r="L28" i="17"/>
  <c r="K28" i="17"/>
  <c r="J28" i="17"/>
  <c r="I28" i="17"/>
  <c r="H28" i="17"/>
  <c r="G28" i="17"/>
  <c r="F28" i="17"/>
  <c r="E28" i="17"/>
  <c r="AK27" i="17"/>
  <c r="Z27" i="17"/>
  <c r="Y27" i="17"/>
  <c r="X27" i="17"/>
  <c r="W27" i="17"/>
  <c r="V27" i="17"/>
  <c r="Q27" i="17"/>
  <c r="T27" i="17" s="1"/>
  <c r="P26" i="17"/>
  <c r="O26" i="17"/>
  <c r="N26" i="17"/>
  <c r="M26" i="17"/>
  <c r="L26" i="17"/>
  <c r="K26" i="17"/>
  <c r="J26" i="17"/>
  <c r="I26" i="17"/>
  <c r="H26" i="17"/>
  <c r="G26" i="17"/>
  <c r="F26" i="17"/>
  <c r="E26" i="17"/>
  <c r="AK25" i="17"/>
  <c r="Z25" i="17"/>
  <c r="Y25" i="17"/>
  <c r="X25" i="17"/>
  <c r="W25" i="17"/>
  <c r="V25" i="17"/>
  <c r="Q25" i="17"/>
  <c r="T25" i="17" s="1"/>
  <c r="P24" i="17"/>
  <c r="O24" i="17"/>
  <c r="N24" i="17"/>
  <c r="M24" i="17"/>
  <c r="L24" i="17"/>
  <c r="K24" i="17"/>
  <c r="J24" i="17"/>
  <c r="I24" i="17"/>
  <c r="H24" i="17"/>
  <c r="G24" i="17"/>
  <c r="F24" i="17"/>
  <c r="E24" i="17"/>
  <c r="AK23" i="17"/>
  <c r="Z23" i="17"/>
  <c r="Y23" i="17"/>
  <c r="X23" i="17"/>
  <c r="W23" i="17"/>
  <c r="V23" i="17"/>
  <c r="Q23" i="17"/>
  <c r="T23" i="17" s="1"/>
  <c r="P22" i="17"/>
  <c r="O22" i="17"/>
  <c r="N22" i="17"/>
  <c r="M22" i="17"/>
  <c r="L22" i="17"/>
  <c r="K22" i="17"/>
  <c r="J22" i="17"/>
  <c r="I22" i="17"/>
  <c r="H22" i="17"/>
  <c r="G22" i="17"/>
  <c r="F22" i="17"/>
  <c r="E22" i="17"/>
  <c r="AK21" i="17"/>
  <c r="Z21" i="17"/>
  <c r="Y21" i="17"/>
  <c r="X21" i="17"/>
  <c r="W21" i="17"/>
  <c r="V21" i="17"/>
  <c r="T21" i="17"/>
  <c r="Q21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AK19" i="17"/>
  <c r="Z19" i="17"/>
  <c r="Y19" i="17"/>
  <c r="X19" i="17"/>
  <c r="W19" i="17"/>
  <c r="V19" i="17"/>
  <c r="T19" i="17"/>
  <c r="Q19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AK17" i="17"/>
  <c r="Z17" i="17"/>
  <c r="Y17" i="17"/>
  <c r="X17" i="17"/>
  <c r="W17" i="17"/>
  <c r="V17" i="17"/>
  <c r="Q17" i="17"/>
  <c r="T17" i="17" s="1"/>
  <c r="P16" i="17"/>
  <c r="O16" i="17"/>
  <c r="N16" i="17"/>
  <c r="M16" i="17"/>
  <c r="L16" i="17"/>
  <c r="K16" i="17"/>
  <c r="J16" i="17"/>
  <c r="I16" i="17"/>
  <c r="H16" i="17"/>
  <c r="G16" i="17"/>
  <c r="F16" i="17"/>
  <c r="E16" i="17"/>
  <c r="AK15" i="17"/>
  <c r="Z15" i="17"/>
  <c r="Y15" i="17"/>
  <c r="X15" i="17"/>
  <c r="W15" i="17"/>
  <c r="V15" i="17"/>
  <c r="R45" i="17"/>
  <c r="Q50" i="17" s="1"/>
  <c r="Q15" i="17"/>
  <c r="T15" i="17" s="1"/>
  <c r="P44" i="16"/>
  <c r="O44" i="16"/>
  <c r="N44" i="16"/>
  <c r="M44" i="16"/>
  <c r="L44" i="16"/>
  <c r="K44" i="16"/>
  <c r="J44" i="16"/>
  <c r="I44" i="16"/>
  <c r="H44" i="16"/>
  <c r="G44" i="16"/>
  <c r="F44" i="16"/>
  <c r="E44" i="16"/>
  <c r="AK43" i="16"/>
  <c r="Z43" i="16"/>
  <c r="Y43" i="16"/>
  <c r="X43" i="16"/>
  <c r="W43" i="16"/>
  <c r="V43" i="16"/>
  <c r="Q43" i="16"/>
  <c r="T43" i="16" s="1"/>
  <c r="P42" i="16"/>
  <c r="O42" i="16"/>
  <c r="N42" i="16"/>
  <c r="M42" i="16"/>
  <c r="L42" i="16"/>
  <c r="K42" i="16"/>
  <c r="J42" i="16"/>
  <c r="I42" i="16"/>
  <c r="H42" i="16"/>
  <c r="G42" i="16"/>
  <c r="F42" i="16"/>
  <c r="E42" i="16"/>
  <c r="AK41" i="16"/>
  <c r="Z41" i="16"/>
  <c r="Y41" i="16"/>
  <c r="X41" i="16"/>
  <c r="W41" i="16"/>
  <c r="V41" i="16"/>
  <c r="Q41" i="16"/>
  <c r="T41" i="16" s="1"/>
  <c r="P40" i="16"/>
  <c r="O40" i="16"/>
  <c r="N40" i="16"/>
  <c r="M40" i="16"/>
  <c r="L40" i="16"/>
  <c r="K40" i="16"/>
  <c r="J40" i="16"/>
  <c r="I40" i="16"/>
  <c r="H40" i="16"/>
  <c r="G40" i="16"/>
  <c r="F40" i="16"/>
  <c r="E40" i="16"/>
  <c r="AK39" i="16"/>
  <c r="Z39" i="16"/>
  <c r="Y39" i="16"/>
  <c r="X39" i="16"/>
  <c r="W39" i="16"/>
  <c r="V39" i="16"/>
  <c r="Q39" i="16"/>
  <c r="T39" i="16" s="1"/>
  <c r="P38" i="16"/>
  <c r="O38" i="16"/>
  <c r="N38" i="16"/>
  <c r="M38" i="16"/>
  <c r="L38" i="16"/>
  <c r="K38" i="16"/>
  <c r="J38" i="16"/>
  <c r="I38" i="16"/>
  <c r="H38" i="16"/>
  <c r="G38" i="16"/>
  <c r="F38" i="16"/>
  <c r="E38" i="16"/>
  <c r="AK37" i="16"/>
  <c r="Z37" i="16"/>
  <c r="Y37" i="16"/>
  <c r="X37" i="16"/>
  <c r="W37" i="16"/>
  <c r="V37" i="16"/>
  <c r="T37" i="16"/>
  <c r="Q37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AK35" i="16"/>
  <c r="Z35" i="16"/>
  <c r="Y35" i="16"/>
  <c r="X35" i="16"/>
  <c r="W35" i="16"/>
  <c r="V35" i="16"/>
  <c r="Q35" i="16"/>
  <c r="T35" i="16" s="1"/>
  <c r="P34" i="16"/>
  <c r="O34" i="16"/>
  <c r="N34" i="16"/>
  <c r="M34" i="16"/>
  <c r="L34" i="16"/>
  <c r="K34" i="16"/>
  <c r="J34" i="16"/>
  <c r="I34" i="16"/>
  <c r="H34" i="16"/>
  <c r="G34" i="16"/>
  <c r="F34" i="16"/>
  <c r="E34" i="16"/>
  <c r="AK33" i="16"/>
  <c r="Z33" i="16"/>
  <c r="Y33" i="16"/>
  <c r="X33" i="16"/>
  <c r="W33" i="16"/>
  <c r="V33" i="16"/>
  <c r="Q33" i="16"/>
  <c r="T33" i="16" s="1"/>
  <c r="P32" i="16"/>
  <c r="O32" i="16"/>
  <c r="N32" i="16"/>
  <c r="M32" i="16"/>
  <c r="L32" i="16"/>
  <c r="K32" i="16"/>
  <c r="J32" i="16"/>
  <c r="I32" i="16"/>
  <c r="H32" i="16"/>
  <c r="G32" i="16"/>
  <c r="F32" i="16"/>
  <c r="E32" i="16"/>
  <c r="AK31" i="16"/>
  <c r="Z31" i="16"/>
  <c r="Y31" i="16"/>
  <c r="X31" i="16"/>
  <c r="W31" i="16"/>
  <c r="V31" i="16"/>
  <c r="Q31" i="16"/>
  <c r="T31" i="16" s="1"/>
  <c r="P30" i="16"/>
  <c r="O30" i="16"/>
  <c r="N30" i="16"/>
  <c r="M30" i="16"/>
  <c r="L30" i="16"/>
  <c r="K30" i="16"/>
  <c r="J30" i="16"/>
  <c r="I30" i="16"/>
  <c r="H30" i="16"/>
  <c r="G30" i="16"/>
  <c r="F30" i="16"/>
  <c r="E30" i="16"/>
  <c r="AK29" i="16"/>
  <c r="Z29" i="16"/>
  <c r="Y29" i="16"/>
  <c r="X29" i="16"/>
  <c r="W29" i="16"/>
  <c r="V29" i="16"/>
  <c r="Q29" i="16"/>
  <c r="T29" i="16" s="1"/>
  <c r="P28" i="16"/>
  <c r="O28" i="16"/>
  <c r="N28" i="16"/>
  <c r="M28" i="16"/>
  <c r="L28" i="16"/>
  <c r="K28" i="16"/>
  <c r="J28" i="16"/>
  <c r="I28" i="16"/>
  <c r="H28" i="16"/>
  <c r="G28" i="16"/>
  <c r="F28" i="16"/>
  <c r="E28" i="16"/>
  <c r="AK27" i="16"/>
  <c r="Z27" i="16"/>
  <c r="Y27" i="16"/>
  <c r="X27" i="16"/>
  <c r="W27" i="16"/>
  <c r="V27" i="16"/>
  <c r="Q27" i="16"/>
  <c r="T27" i="16" s="1"/>
  <c r="P26" i="16"/>
  <c r="O26" i="16"/>
  <c r="N26" i="16"/>
  <c r="M26" i="16"/>
  <c r="L26" i="16"/>
  <c r="K26" i="16"/>
  <c r="J26" i="16"/>
  <c r="I26" i="16"/>
  <c r="H26" i="16"/>
  <c r="G26" i="16"/>
  <c r="F26" i="16"/>
  <c r="E26" i="16"/>
  <c r="AK25" i="16"/>
  <c r="Z25" i="16"/>
  <c r="Y25" i="16"/>
  <c r="X25" i="16"/>
  <c r="W25" i="16"/>
  <c r="V25" i="16"/>
  <c r="Q25" i="16"/>
  <c r="T25" i="16" s="1"/>
  <c r="P24" i="16"/>
  <c r="O24" i="16"/>
  <c r="N24" i="16"/>
  <c r="M24" i="16"/>
  <c r="L24" i="16"/>
  <c r="K24" i="16"/>
  <c r="J24" i="16"/>
  <c r="I24" i="16"/>
  <c r="H24" i="16"/>
  <c r="G24" i="16"/>
  <c r="F24" i="16"/>
  <c r="E24" i="16"/>
  <c r="AK23" i="16"/>
  <c r="Z23" i="16"/>
  <c r="Y23" i="16"/>
  <c r="X23" i="16"/>
  <c r="W23" i="16"/>
  <c r="V23" i="16"/>
  <c r="Q23" i="16"/>
  <c r="T23" i="16" s="1"/>
  <c r="P22" i="16"/>
  <c r="O22" i="16"/>
  <c r="N22" i="16"/>
  <c r="M22" i="16"/>
  <c r="L22" i="16"/>
  <c r="K22" i="16"/>
  <c r="J22" i="16"/>
  <c r="I22" i="16"/>
  <c r="H22" i="16"/>
  <c r="G22" i="16"/>
  <c r="F22" i="16"/>
  <c r="E22" i="16"/>
  <c r="AK21" i="16"/>
  <c r="Z21" i="16"/>
  <c r="Y21" i="16"/>
  <c r="X21" i="16"/>
  <c r="W21" i="16"/>
  <c r="V21" i="16"/>
  <c r="T21" i="16"/>
  <c r="Q21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AK19" i="16"/>
  <c r="Z19" i="16"/>
  <c r="Y19" i="16"/>
  <c r="X19" i="16"/>
  <c r="W19" i="16"/>
  <c r="V19" i="16"/>
  <c r="Q19" i="16"/>
  <c r="T19" i="16" s="1"/>
  <c r="P18" i="16"/>
  <c r="O18" i="16"/>
  <c r="N18" i="16"/>
  <c r="M18" i="16"/>
  <c r="L18" i="16"/>
  <c r="K18" i="16"/>
  <c r="J18" i="16"/>
  <c r="I18" i="16"/>
  <c r="H18" i="16"/>
  <c r="G18" i="16"/>
  <c r="F18" i="16"/>
  <c r="E18" i="16"/>
  <c r="AK17" i="16"/>
  <c r="Z17" i="16"/>
  <c r="Y17" i="16"/>
  <c r="X17" i="16"/>
  <c r="W17" i="16"/>
  <c r="V17" i="16"/>
  <c r="Q17" i="16"/>
  <c r="T17" i="16" s="1"/>
  <c r="P16" i="16"/>
  <c r="O16" i="16"/>
  <c r="N16" i="16"/>
  <c r="M16" i="16"/>
  <c r="L16" i="16"/>
  <c r="K16" i="16"/>
  <c r="J16" i="16"/>
  <c r="I16" i="16"/>
  <c r="H16" i="16"/>
  <c r="G16" i="16"/>
  <c r="F16" i="16"/>
  <c r="E16" i="16"/>
  <c r="AK15" i="16"/>
  <c r="Z15" i="16"/>
  <c r="Y15" i="16"/>
  <c r="X15" i="16"/>
  <c r="W15" i="16"/>
  <c r="V15" i="16"/>
  <c r="R45" i="16"/>
  <c r="Q50" i="16" s="1"/>
  <c r="Q15" i="16"/>
  <c r="T15" i="16" s="1"/>
  <c r="O22" i="5"/>
  <c r="Z23" i="5"/>
  <c r="Y23" i="5"/>
  <c r="X23" i="5"/>
  <c r="W23" i="5"/>
  <c r="V23" i="5"/>
  <c r="V19" i="5" l="1"/>
  <c r="W19" i="5"/>
  <c r="X19" i="5"/>
  <c r="Y19" i="5"/>
  <c r="Z19" i="5"/>
  <c r="E50" i="5" l="1"/>
  <c r="F50" i="5"/>
  <c r="G50" i="5"/>
  <c r="H50" i="5"/>
  <c r="I50" i="5"/>
  <c r="J50" i="5"/>
  <c r="K50" i="5"/>
  <c r="L50" i="5"/>
  <c r="M50" i="5"/>
  <c r="N50" i="5"/>
  <c r="O50" i="5"/>
  <c r="N36" i="5"/>
  <c r="P16" i="5" l="1"/>
  <c r="P24" i="5"/>
  <c r="P26" i="5"/>
  <c r="P28" i="5"/>
  <c r="P30" i="5"/>
  <c r="P34" i="5"/>
  <c r="P38" i="5"/>
  <c r="P40" i="5"/>
  <c r="P42" i="5"/>
  <c r="P50" i="5"/>
  <c r="V15" i="5" l="1"/>
  <c r="W15" i="5"/>
  <c r="X15" i="5"/>
  <c r="Y15" i="5"/>
  <c r="Z15" i="5"/>
  <c r="V17" i="5"/>
  <c r="W17" i="5"/>
  <c r="X17" i="5"/>
  <c r="Y17" i="5"/>
  <c r="Z17" i="5"/>
  <c r="V21" i="5"/>
  <c r="W21" i="5"/>
  <c r="X21" i="5"/>
  <c r="Y21" i="5"/>
  <c r="Z21" i="5"/>
  <c r="V25" i="5"/>
  <c r="W25" i="5"/>
  <c r="X25" i="5"/>
  <c r="Y25" i="5"/>
  <c r="Z25" i="5"/>
  <c r="V27" i="5"/>
  <c r="W27" i="5"/>
  <c r="X27" i="5"/>
  <c r="Y27" i="5"/>
  <c r="Z27" i="5"/>
  <c r="V31" i="5"/>
  <c r="W31" i="5"/>
  <c r="X31" i="5"/>
  <c r="Y31" i="5"/>
  <c r="Z31" i="5"/>
  <c r="V33" i="5"/>
  <c r="W33" i="5"/>
  <c r="X33" i="5"/>
  <c r="Y33" i="5"/>
  <c r="Z33" i="5"/>
  <c r="V35" i="5"/>
  <c r="W35" i="5"/>
  <c r="X35" i="5"/>
  <c r="Y35" i="5"/>
  <c r="Z35" i="5"/>
  <c r="V37" i="5"/>
  <c r="W37" i="5"/>
  <c r="X37" i="5"/>
  <c r="Y37" i="5"/>
  <c r="Z37" i="5"/>
  <c r="V39" i="5"/>
  <c r="W39" i="5"/>
  <c r="X39" i="5"/>
  <c r="Y39" i="5"/>
  <c r="Z39" i="5"/>
  <c r="V41" i="5"/>
  <c r="W41" i="5"/>
  <c r="X41" i="5"/>
  <c r="Y41" i="5"/>
  <c r="Z41" i="5"/>
  <c r="V49" i="5"/>
  <c r="W49" i="5"/>
  <c r="X49" i="5"/>
  <c r="Y49" i="5"/>
  <c r="Z49" i="5"/>
  <c r="L24" i="5"/>
  <c r="H30" i="5"/>
  <c r="I30" i="5"/>
  <c r="I34" i="5"/>
  <c r="I36" i="5"/>
  <c r="M34" i="5"/>
  <c r="M36" i="5"/>
  <c r="M38" i="5"/>
  <c r="M40" i="5"/>
  <c r="E19" i="3" l="1"/>
  <c r="F19" i="3"/>
  <c r="G19" i="3"/>
  <c r="H19" i="3"/>
  <c r="I19" i="3"/>
  <c r="J19" i="3"/>
  <c r="K19" i="3"/>
  <c r="L19" i="3"/>
  <c r="M19" i="3"/>
  <c r="N19" i="3"/>
  <c r="O19" i="3"/>
  <c r="D19" i="3"/>
  <c r="F34" i="5"/>
  <c r="G34" i="5"/>
  <c r="J34" i="5"/>
  <c r="K34" i="5"/>
  <c r="L34" i="5"/>
  <c r="N34" i="5"/>
  <c r="E34" i="5"/>
  <c r="AK33" i="5"/>
  <c r="Q33" i="5"/>
  <c r="T33" i="5" s="1"/>
  <c r="I42" i="5"/>
  <c r="C19" i="3" l="1" a="1"/>
  <c r="C19" i="3" s="1"/>
  <c r="R33" i="5" s="1"/>
  <c r="C26" i="3" l="1" a="1"/>
  <c r="C26" i="3" s="1"/>
  <c r="AK49" i="5"/>
  <c r="Q49" i="5"/>
  <c r="T49" i="5" s="1"/>
  <c r="F42" i="5"/>
  <c r="G42" i="5"/>
  <c r="H42" i="5"/>
  <c r="J42" i="5"/>
  <c r="K42" i="5"/>
  <c r="L42" i="5"/>
  <c r="M42" i="5"/>
  <c r="N42" i="5"/>
  <c r="O42" i="5"/>
  <c r="E42" i="5"/>
  <c r="E23" i="3"/>
  <c r="F23" i="3"/>
  <c r="G23" i="3"/>
  <c r="H23" i="3"/>
  <c r="I23" i="3"/>
  <c r="J23" i="3"/>
  <c r="K23" i="3"/>
  <c r="L23" i="3"/>
  <c r="M23" i="3"/>
  <c r="N23" i="3"/>
  <c r="O23" i="3"/>
  <c r="D23" i="3"/>
  <c r="AK41" i="5"/>
  <c r="Q41" i="5"/>
  <c r="T41" i="5" s="1"/>
  <c r="E12" i="3"/>
  <c r="F12" i="3"/>
  <c r="G12" i="3"/>
  <c r="H12" i="3"/>
  <c r="I12" i="3"/>
  <c r="J12" i="3"/>
  <c r="K12" i="3"/>
  <c r="L12" i="3"/>
  <c r="M12" i="3"/>
  <c r="N12" i="3"/>
  <c r="O12" i="3"/>
  <c r="D12" i="3"/>
  <c r="E22" i="3"/>
  <c r="F22" i="3"/>
  <c r="G22" i="3"/>
  <c r="H22" i="3"/>
  <c r="I22" i="3"/>
  <c r="J22" i="3"/>
  <c r="K22" i="3"/>
  <c r="L22" i="3"/>
  <c r="M22" i="3"/>
  <c r="N22" i="3"/>
  <c r="O22" i="3"/>
  <c r="D22" i="3"/>
  <c r="F40" i="5"/>
  <c r="G40" i="5"/>
  <c r="I40" i="5"/>
  <c r="J40" i="5"/>
  <c r="K40" i="5"/>
  <c r="L40" i="5"/>
  <c r="N40" i="5"/>
  <c r="O40" i="5"/>
  <c r="E40" i="5"/>
  <c r="AK39" i="5"/>
  <c r="Q39" i="5"/>
  <c r="T39" i="5" s="1"/>
  <c r="Q29" i="5"/>
  <c r="T29" i="5" s="1"/>
  <c r="E21" i="3"/>
  <c r="F21" i="3"/>
  <c r="G21" i="3"/>
  <c r="H21" i="3"/>
  <c r="I21" i="3"/>
  <c r="J21" i="3"/>
  <c r="K21" i="3"/>
  <c r="L21" i="3"/>
  <c r="M21" i="3"/>
  <c r="N21" i="3"/>
  <c r="O21" i="3"/>
  <c r="E20" i="3"/>
  <c r="F20" i="3"/>
  <c r="G20" i="3"/>
  <c r="H20" i="3"/>
  <c r="I20" i="3"/>
  <c r="J20" i="3"/>
  <c r="K20" i="3"/>
  <c r="L20" i="3"/>
  <c r="M20" i="3"/>
  <c r="N20" i="3"/>
  <c r="O20" i="3"/>
  <c r="E18" i="3"/>
  <c r="F18" i="3"/>
  <c r="G18" i="3"/>
  <c r="H18" i="3"/>
  <c r="I18" i="3"/>
  <c r="J18" i="3"/>
  <c r="K18" i="3"/>
  <c r="L18" i="3"/>
  <c r="M18" i="3"/>
  <c r="N18" i="3"/>
  <c r="O18" i="3"/>
  <c r="E17" i="3"/>
  <c r="F17" i="3"/>
  <c r="G17" i="3"/>
  <c r="H17" i="3"/>
  <c r="I17" i="3"/>
  <c r="J17" i="3"/>
  <c r="K17" i="3"/>
  <c r="L17" i="3"/>
  <c r="M17" i="3"/>
  <c r="N17" i="3"/>
  <c r="O17" i="3"/>
  <c r="E16" i="3"/>
  <c r="F16" i="3"/>
  <c r="G16" i="3"/>
  <c r="H16" i="3"/>
  <c r="I16" i="3"/>
  <c r="J16" i="3"/>
  <c r="K16" i="3"/>
  <c r="L16" i="3"/>
  <c r="M16" i="3"/>
  <c r="N16" i="3"/>
  <c r="O16" i="3"/>
  <c r="E15" i="3"/>
  <c r="F15" i="3"/>
  <c r="G15" i="3"/>
  <c r="H15" i="3"/>
  <c r="I15" i="3"/>
  <c r="J15" i="3"/>
  <c r="K15" i="3"/>
  <c r="L15" i="3"/>
  <c r="M15" i="3"/>
  <c r="N15" i="3"/>
  <c r="O15" i="3"/>
  <c r="D15" i="3"/>
  <c r="E14" i="3"/>
  <c r="F14" i="3"/>
  <c r="G14" i="3"/>
  <c r="H14" i="3"/>
  <c r="I14" i="3"/>
  <c r="J14" i="3"/>
  <c r="K14" i="3"/>
  <c r="L14" i="3"/>
  <c r="M14" i="3"/>
  <c r="N14" i="3"/>
  <c r="O14" i="3"/>
  <c r="D14" i="3"/>
  <c r="E13" i="3"/>
  <c r="F13" i="3"/>
  <c r="G13" i="3"/>
  <c r="H13" i="3"/>
  <c r="I13" i="3"/>
  <c r="J13" i="3"/>
  <c r="K13" i="3"/>
  <c r="L13" i="3"/>
  <c r="M13" i="3"/>
  <c r="N13" i="3"/>
  <c r="O13" i="3"/>
  <c r="D13" i="3"/>
  <c r="E11" i="3"/>
  <c r="F11" i="3"/>
  <c r="G11" i="3"/>
  <c r="H11" i="3"/>
  <c r="I11" i="3"/>
  <c r="J11" i="3"/>
  <c r="K11" i="3"/>
  <c r="L11" i="3"/>
  <c r="M11" i="3"/>
  <c r="N11" i="3"/>
  <c r="O11" i="3"/>
  <c r="D11" i="3"/>
  <c r="E10" i="3"/>
  <c r="F10" i="3"/>
  <c r="G10" i="3"/>
  <c r="H10" i="3"/>
  <c r="I10" i="3"/>
  <c r="J10" i="3"/>
  <c r="K10" i="3"/>
  <c r="L10" i="3"/>
  <c r="M10" i="3"/>
  <c r="N10" i="3"/>
  <c r="O10" i="3"/>
  <c r="D10" i="3"/>
  <c r="Q15" i="5"/>
  <c r="T15" i="5" s="1"/>
  <c r="F38" i="5"/>
  <c r="G38" i="5"/>
  <c r="I38" i="5"/>
  <c r="J38" i="5"/>
  <c r="K38" i="5"/>
  <c r="L38" i="5"/>
  <c r="O38" i="5"/>
  <c r="F36" i="5"/>
  <c r="G36" i="5"/>
  <c r="J36" i="5"/>
  <c r="K36" i="5"/>
  <c r="L36" i="5"/>
  <c r="O36" i="5"/>
  <c r="F30" i="5"/>
  <c r="G30" i="5"/>
  <c r="J30" i="5"/>
  <c r="K30" i="5"/>
  <c r="L30" i="5"/>
  <c r="M30" i="5"/>
  <c r="N30" i="5"/>
  <c r="O30" i="5"/>
  <c r="F28" i="5"/>
  <c r="G28" i="5"/>
  <c r="H28" i="5"/>
  <c r="I28" i="5"/>
  <c r="J28" i="5"/>
  <c r="K28" i="5"/>
  <c r="L28" i="5"/>
  <c r="M28" i="5"/>
  <c r="N28" i="5"/>
  <c r="O28" i="5"/>
  <c r="F26" i="5"/>
  <c r="G26" i="5"/>
  <c r="H26" i="5"/>
  <c r="I26" i="5"/>
  <c r="J26" i="5"/>
  <c r="K26" i="5"/>
  <c r="L26" i="5"/>
  <c r="M26" i="5"/>
  <c r="N26" i="5"/>
  <c r="O26" i="5"/>
  <c r="F24" i="5"/>
  <c r="G24" i="5"/>
  <c r="H24" i="5"/>
  <c r="I24" i="5"/>
  <c r="J24" i="5"/>
  <c r="K24" i="5"/>
  <c r="M24" i="5"/>
  <c r="N24" i="5"/>
  <c r="O24" i="5"/>
  <c r="F22" i="5"/>
  <c r="G22" i="5"/>
  <c r="H22" i="5"/>
  <c r="I22" i="5"/>
  <c r="J22" i="5"/>
  <c r="K22" i="5"/>
  <c r="L22" i="5"/>
  <c r="M22" i="5"/>
  <c r="N22" i="5"/>
  <c r="F16" i="5"/>
  <c r="G16" i="5"/>
  <c r="H16" i="5"/>
  <c r="I16" i="5"/>
  <c r="J16" i="5"/>
  <c r="K16" i="5"/>
  <c r="L16" i="5"/>
  <c r="M16" i="5"/>
  <c r="N16" i="5"/>
  <c r="O16" i="5"/>
  <c r="D21" i="3"/>
  <c r="D20" i="3"/>
  <c r="E36" i="5"/>
  <c r="AK35" i="5"/>
  <c r="Q35" i="5"/>
  <c r="T35" i="5" s="1"/>
  <c r="E16" i="5"/>
  <c r="Q17" i="5"/>
  <c r="T17" i="5" s="1"/>
  <c r="AK37" i="5"/>
  <c r="AK31" i="5"/>
  <c r="AK29" i="5"/>
  <c r="AK27" i="5"/>
  <c r="AK25" i="5"/>
  <c r="AK23" i="5"/>
  <c r="AK21" i="5"/>
  <c r="AK19" i="5"/>
  <c r="AK17" i="5"/>
  <c r="AK15" i="5"/>
  <c r="A11" i="3"/>
  <c r="A10" i="3"/>
  <c r="R47" i="5" l="1"/>
  <c r="C23" i="3" a="1"/>
  <c r="C23" i="3" s="1"/>
  <c r="R41" i="5" s="1"/>
  <c r="C22" i="3" a="1"/>
  <c r="C22" i="3" s="1"/>
  <c r="C21" i="3" a="1"/>
  <c r="C21" i="3" s="1"/>
  <c r="E38" i="5"/>
  <c r="Q37" i="5"/>
  <c r="T37" i="5" s="1"/>
  <c r="E30" i="5"/>
  <c r="E28" i="5"/>
  <c r="E26" i="5"/>
  <c r="E24" i="5"/>
  <c r="E22" i="5"/>
  <c r="D18" i="3"/>
  <c r="D17" i="3"/>
  <c r="D16" i="3"/>
  <c r="R39" i="5" l="1"/>
  <c r="R37" i="5"/>
  <c r="C20" i="3" a="1"/>
  <c r="C20" i="3" s="1"/>
  <c r="R35" i="5" l="1"/>
  <c r="Q31" i="5"/>
  <c r="T31" i="5" s="1"/>
  <c r="Q27" i="5"/>
  <c r="T27" i="5" s="1"/>
  <c r="Q25" i="5"/>
  <c r="T25" i="5" s="1"/>
  <c r="Q23" i="5"/>
  <c r="T23" i="5" s="1"/>
  <c r="T21" i="5"/>
  <c r="Q19" i="5"/>
  <c r="T19" i="5" s="1"/>
  <c r="C18" i="3" l="1" a="1"/>
  <c r="C18" i="3" s="1"/>
  <c r="C17" i="3" a="1"/>
  <c r="C17" i="3" s="1"/>
  <c r="R29" i="5" l="1"/>
  <c r="R31" i="5"/>
  <c r="C14" i="3" l="1" a="1"/>
  <c r="C14" i="3" s="1"/>
  <c r="R23" i="5" l="1"/>
  <c r="C16" i="3" l="1" a="1"/>
  <c r="C16" i="3" s="1"/>
  <c r="R27" i="5" s="1"/>
  <c r="Y15" i="3" l="1"/>
  <c r="AB15" i="3"/>
  <c r="AE15" i="3"/>
  <c r="AG15" i="3"/>
  <c r="AK15" i="3"/>
  <c r="AN15" i="3"/>
  <c r="AO15" i="3"/>
  <c r="AS15" i="3"/>
  <c r="AU15" i="3"/>
  <c r="Y13" i="3"/>
  <c r="Z13" i="3"/>
  <c r="AC13" i="3"/>
  <c r="AH13" i="3"/>
  <c r="AK13" i="3"/>
  <c r="AM13" i="3"/>
  <c r="AQ13" i="3"/>
  <c r="AT13" i="3"/>
  <c r="AW13" i="3"/>
  <c r="X12" i="3"/>
  <c r="Z12" i="3"/>
  <c r="AD12" i="3"/>
  <c r="AH12" i="3"/>
  <c r="AJ12" i="3"/>
  <c r="AN12" i="3"/>
  <c r="AP12" i="3"/>
  <c r="AT12" i="3"/>
  <c r="AV12" i="3"/>
  <c r="Y11" i="3"/>
  <c r="AA11" i="3"/>
  <c r="AC11" i="3"/>
  <c r="AF11" i="3"/>
  <c r="AK11" i="3"/>
  <c r="AN11" i="3"/>
  <c r="AQ11" i="3"/>
  <c r="AT11" i="3"/>
  <c r="AV11" i="3"/>
  <c r="C15" i="3" a="1"/>
  <c r="C13" i="3" a="1"/>
  <c r="C13" i="3" s="1"/>
  <c r="R21" i="5" s="1"/>
  <c r="X10" i="3"/>
  <c r="Z10" i="3"/>
  <c r="AD10" i="3"/>
  <c r="AH10" i="3"/>
  <c r="AK10" i="3"/>
  <c r="AM10" i="3"/>
  <c r="AO10" i="3"/>
  <c r="AS10" i="3"/>
  <c r="AU10" i="3"/>
  <c r="W15" i="3"/>
  <c r="AO13" i="3"/>
  <c r="W13" i="3"/>
  <c r="AA12" i="3"/>
  <c r="AO11" i="3"/>
  <c r="AE11" i="3"/>
  <c r="W11" i="3"/>
  <c r="V10" i="3" l="1"/>
  <c r="C10" i="3" a="1"/>
  <c r="C10" i="3" s="1"/>
  <c r="C12" i="3" a="1"/>
  <c r="C12" i="3" s="1"/>
  <c r="P10" i="3"/>
  <c r="C11" i="3" a="1"/>
  <c r="C11" i="3" s="1"/>
  <c r="U15" i="3"/>
  <c r="C15" i="3"/>
  <c r="U12" i="3"/>
  <c r="V13" i="3"/>
  <c r="AP15" i="3"/>
  <c r="AL12" i="3"/>
  <c r="AM12" i="3"/>
  <c r="AQ15" i="3"/>
  <c r="AG11" i="3"/>
  <c r="AE12" i="3"/>
  <c r="AG13" i="3"/>
  <c r="X11" i="3"/>
  <c r="V12" i="3"/>
  <c r="X15" i="3"/>
  <c r="AS11" i="3"/>
  <c r="AG12" i="3"/>
  <c r="AO12" i="3"/>
  <c r="AF12" i="3"/>
  <c r="AC12" i="3"/>
  <c r="AQ12" i="3"/>
  <c r="T15" i="3"/>
  <c r="AJ15" i="3"/>
  <c r="AT10" i="3"/>
  <c r="V15" i="3"/>
  <c r="AF15" i="3"/>
  <c r="AH15" i="3"/>
  <c r="AT15" i="3"/>
  <c r="X13" i="3"/>
  <c r="AH11" i="3"/>
  <c r="U13" i="3"/>
  <c r="AF13" i="3"/>
  <c r="AR11" i="3"/>
  <c r="Y12" i="3"/>
  <c r="AK12" i="3"/>
  <c r="AW12" i="3"/>
  <c r="AN13" i="3"/>
  <c r="AL15" i="3"/>
  <c r="AA10" i="3"/>
  <c r="AB10" i="3"/>
  <c r="AD11" i="3"/>
  <c r="AA13" i="3"/>
  <c r="Z15" i="3"/>
  <c r="W12" i="3"/>
  <c r="AU12" i="3"/>
  <c r="AB13" i="3"/>
  <c r="AL13" i="3"/>
  <c r="AA15" i="3"/>
  <c r="AN10" i="3"/>
  <c r="AP11" i="3"/>
  <c r="AP13" i="3"/>
  <c r="AV10" i="3"/>
  <c r="AW10" i="3"/>
  <c r="Y10" i="3"/>
  <c r="W10" i="3"/>
  <c r="AV15" i="3"/>
  <c r="AU11" i="3"/>
  <c r="AI15" i="3"/>
  <c r="AW15" i="3"/>
  <c r="T11" i="3"/>
  <c r="AW11" i="3"/>
  <c r="U11" i="3"/>
  <c r="AI11" i="3"/>
  <c r="AR12" i="3"/>
  <c r="AR13" i="3"/>
  <c r="AI10" i="3"/>
  <c r="V11" i="3"/>
  <c r="AJ11" i="3"/>
  <c r="AS12" i="3"/>
  <c r="AS13" i="3"/>
  <c r="P11" i="3"/>
  <c r="AJ10" i="3"/>
  <c r="AI13" i="3"/>
  <c r="AU13" i="3"/>
  <c r="T12" i="3"/>
  <c r="AJ13" i="3"/>
  <c r="AV13" i="3"/>
  <c r="AR15" i="3"/>
  <c r="AM15" i="3"/>
  <c r="AC15" i="3"/>
  <c r="AD15" i="3"/>
  <c r="P15" i="3"/>
  <c r="AE13" i="3"/>
  <c r="P13" i="3"/>
  <c r="AD13" i="3"/>
  <c r="AB12" i="3"/>
  <c r="P12" i="3"/>
  <c r="AI12" i="3"/>
  <c r="Z11" i="3"/>
  <c r="AL11" i="3"/>
  <c r="AM11" i="3"/>
  <c r="AB11" i="3"/>
  <c r="T13" i="3"/>
  <c r="AE10" i="3"/>
  <c r="AF10" i="3"/>
  <c r="AG10" i="3"/>
  <c r="AP10" i="3"/>
  <c r="AQ10" i="3"/>
  <c r="AR10" i="3"/>
  <c r="AL10" i="3"/>
  <c r="AC10" i="3"/>
  <c r="T10" i="3"/>
  <c r="U10" i="3"/>
  <c r="C28" i="3" l="1"/>
  <c r="N30" i="3"/>
  <c r="M31" i="3"/>
  <c r="O29" i="3"/>
  <c r="O31" i="3"/>
  <c r="N31" i="3"/>
  <c r="O30" i="3"/>
  <c r="R15" i="5"/>
  <c r="M29" i="3"/>
  <c r="M30" i="3"/>
  <c r="N29" i="3"/>
  <c r="R25" i="5"/>
  <c r="R17" i="5"/>
  <c r="R19" i="5"/>
  <c r="E31" i="3"/>
  <c r="K29" i="3"/>
  <c r="I31" i="3"/>
  <c r="L31" i="3"/>
  <c r="G30" i="3"/>
  <c r="H31" i="3"/>
  <c r="H29" i="3"/>
  <c r="D31" i="3"/>
  <c r="K31" i="3"/>
  <c r="G31" i="3"/>
  <c r="L30" i="3"/>
  <c r="I29" i="3"/>
  <c r="J31" i="3"/>
  <c r="D30" i="3"/>
  <c r="H30" i="3"/>
  <c r="E29" i="3"/>
  <c r="F30" i="3"/>
  <c r="K30" i="3"/>
  <c r="I30" i="3"/>
  <c r="D29" i="3"/>
  <c r="J30" i="3"/>
  <c r="E30" i="3"/>
  <c r="L29" i="3"/>
  <c r="F29" i="3"/>
  <c r="G29" i="3"/>
  <c r="F31" i="3"/>
  <c r="J29" i="3"/>
  <c r="R51" i="5" l="1"/>
  <c r="Q53" i="5" s="1"/>
  <c r="N28" i="3"/>
  <c r="M28" i="3"/>
  <c r="H28" i="3"/>
  <c r="E28" i="3"/>
  <c r="J28" i="3"/>
  <c r="G28" i="3"/>
  <c r="K28" i="3"/>
  <c r="F28" i="3"/>
  <c r="L28" i="3"/>
  <c r="I28" i="3"/>
  <c r="O28" i="3"/>
  <c r="D28" i="3"/>
  <c r="D40" i="3"/>
  <c r="D34" i="3"/>
  <c r="D39" i="3"/>
  <c r="D35" i="3"/>
  <c r="D41" i="3" l="1"/>
  <c r="D43" i="3" s="1"/>
  <c r="D36" i="3"/>
  <c r="D38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<sst xmlns="http://schemas.openxmlformats.org/spreadsheetml/2006/main" count="383" uniqueCount="149">
  <si>
    <t>PO1</t>
  </si>
  <si>
    <t>PO2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</si>
  <si>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</si>
  <si>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</si>
  <si>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</si>
  <si>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</si>
  <si>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</si>
  <si>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</si>
  <si>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</si>
  <si>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</si>
  <si>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</si>
  <si>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</si>
  <si>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</si>
  <si>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</si>
  <si>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</si>
  <si>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</si>
  <si>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>%</t>
  </si>
  <si>
    <t xml:space="preserve">PO: </t>
  </si>
  <si>
    <t xml:space="preserve">Date: </t>
  </si>
  <si>
    <t>จำนวนรถที่ต้องใช้</t>
  </si>
  <si>
    <t>คัน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</si>
  <si>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</si>
  <si>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</si>
  <si>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</si>
  <si>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</si>
  <si>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</si>
  <si>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</si>
  <si>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</si>
  <si>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PO6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</si>
  <si>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</si>
  <si>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</si>
  <si>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</si>
  <si>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</si>
  <si>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</si>
  <si>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</si>
  <si>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</si>
  <si>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</si>
  <si>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</si>
  <si>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</si>
  <si>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</si>
  <si>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</si>
  <si>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</si>
  <si>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</si>
  <si>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</si>
  <si>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</si>
  <si>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</si>
  <si>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</si>
  <si>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</si>
  <si>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</si>
  <si>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</si>
  <si>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</si>
  <si>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</si>
  <si>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</si>
  <si>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</si>
  <si>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</si>
  <si>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</si>
  <si>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</si>
  <si>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</si>
  <si>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</si>
  <si>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</si>
  <si>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</si>
  <si>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</si>
  <si>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</si>
  <si>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</si>
  <si>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แอปเปิ้ลแดงวอชิงตันลูกเดี่ยว x 45 P</t>
  </si>
  <si>
    <t>องุ่นแดงไร้เมล็ด 300 g. x 20 p</t>
  </si>
  <si>
    <t>เบอร์รี่ดูโอ้ 160 กรัม x 32 P</t>
  </si>
  <si>
    <r>
      <rPr>
        <b/>
        <sz val="18"/>
        <color theme="1"/>
        <rFont val="Angsana New"/>
        <family val="1"/>
      </rPr>
      <t>Global Trade and Distribution Co., Ltd.</t>
    </r>
    <r>
      <rPr>
        <b/>
        <sz val="16"/>
        <color theme="1"/>
        <rFont val="Angsana New"/>
        <family val="1"/>
      </rPr>
      <t xml:space="preserve">
บริษัท โกลบอล เทรด แอนด์ ดิสทริบิวชั่น จำกัด</t>
    </r>
  </si>
  <si>
    <t>ยอดรวม</t>
  </si>
  <si>
    <t>PO 2</t>
  </si>
  <si>
    <t>ตะกร้า</t>
  </si>
  <si>
    <t xml:space="preserve">หมายเหตุ
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</si>
  <si>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</si>
  <si>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</si>
  <si>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</si>
  <si>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</si>
  <si>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</si>
  <si>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ลายเซ็น คนขึ้นของ</t>
  </si>
  <si>
    <t>ยอดเผื่อ</t>
  </si>
  <si>
    <t>คงเหลือ</t>
  </si>
  <si>
    <t>รวมแพค</t>
  </si>
  <si>
    <t>รวมยอดตะกร้า</t>
  </si>
  <si>
    <t>KK</t>
  </si>
  <si>
    <t>SRR</t>
  </si>
  <si>
    <t>HKT</t>
  </si>
  <si>
    <t>CMI</t>
  </si>
  <si>
    <t>HDY</t>
  </si>
  <si>
    <t>=</t>
  </si>
  <si>
    <t>*เบิกตะกร้ากลับด้วยนะคะ =</t>
  </si>
  <si>
    <t>ใบ</t>
  </si>
  <si>
    <t>เซเว่น-บางบัวทอง</t>
  </si>
  <si>
    <t>PO11</t>
  </si>
  <si>
    <t>PO12</t>
  </si>
  <si>
    <t>ขอนแก่น  KK</t>
  </si>
  <si>
    <t>สุราษร์ธานี   ST</t>
  </si>
  <si>
    <t>เชียงใหม่  CM</t>
  </si>
  <si>
    <t>ภูเก็ต  PK</t>
  </si>
  <si>
    <t>หาดใหญ่  HY</t>
  </si>
  <si>
    <t>14.00 น.</t>
  </si>
  <si>
    <t>13.00 น.</t>
  </si>
  <si>
    <t>11.00 น</t>
  </si>
  <si>
    <t>09.00  น</t>
  </si>
  <si>
    <t>08.00 น.</t>
  </si>
  <si>
    <t>องุ่นดำไร้เมล็ด 150 กรัม x36P</t>
  </si>
  <si>
    <t>องุ่นดำไร้เมล็ด 300 กรัม x20P</t>
  </si>
  <si>
    <t>สาลี่ทอง แพ็ก 2 ผล (400g.) x 15 P</t>
  </si>
  <si>
    <t xml:space="preserve">BlackGrapesSeedless150 g. (8859388000025 )   </t>
  </si>
  <si>
    <t xml:space="preserve">BlackGrapesSeedless300g. (8859388002562 )   </t>
  </si>
  <si>
    <t xml:space="preserve">สตรอเบอร์รี่ 250 กรัม x 18 P </t>
  </si>
  <si>
    <t>องุ่นเคียวโฮ 300 กรัม x 15 P</t>
  </si>
  <si>
    <t xml:space="preserve">Red Seed 200 g.   ( 8859388000100 )                      </t>
  </si>
  <si>
    <t xml:space="preserve">Red Seedless 150 g.  ( 8859388007000 )             </t>
  </si>
  <si>
    <t xml:space="preserve">Straw  USA 250 g.  ( 2003009710008 )             </t>
  </si>
  <si>
    <t xml:space="preserve">Blue  125 g. ( 2003009720007 )                           </t>
  </si>
  <si>
    <t xml:space="preserve">Washington ( 8859388000759 )                    </t>
  </si>
  <si>
    <t xml:space="preserve">Red Seedless 300 g.( 8859388001084 )        </t>
  </si>
  <si>
    <t xml:space="preserve">Berry Duo 160g.  ( 8859388010239 )                    </t>
  </si>
  <si>
    <t xml:space="preserve">Pear 400g  (8859388010284 )  </t>
  </si>
  <si>
    <t xml:space="preserve">Kyoho Grape (888593880000063 )        </t>
  </si>
  <si>
    <t>สินค้า</t>
  </si>
  <si>
    <t>สถานที่จัดส่ง :</t>
  </si>
  <si>
    <t>จำนวน</t>
  </si>
  <si>
    <t>กีวีเขียว แพ็ก 2 ผล</t>
  </si>
  <si>
    <t>2 แพ็ก</t>
  </si>
  <si>
    <t>ลูกไหนจิ๋ว 200 กรัม</t>
  </si>
  <si>
    <t>Food Tect แจ้งวัฒนะ  ( คุณเจี๊ยบ )</t>
  </si>
  <si>
    <t>เชอร์รี่สดนำเข้า 150 กรัม USA x 36 P</t>
  </si>
  <si>
    <t>เชอร์รี่สดนำเข้า 150 กรัม (USA.) x36 P</t>
  </si>
  <si>
    <t xml:space="preserve">Cherry150g (8859388008885 )  </t>
  </si>
  <si>
    <t>องุ่นไชน์มัสแคท 300 กรัมx 15 P</t>
  </si>
  <si>
    <t xml:space="preserve">Shine Muscat 300g ( 88593880000189 )                    </t>
  </si>
  <si>
    <t>ลูกไหนจิ๋ว 200 g. x 27 p</t>
  </si>
  <si>
    <t xml:space="preserve">Plum 200  g. ( 8859388001091 )        </t>
  </si>
  <si>
    <t>องุ่นสวีทแซฟไฟร์300 กรัม x 15 P</t>
  </si>
  <si>
    <t xml:space="preserve">Sweet Sapphire ( 8859388000223 )                    </t>
  </si>
  <si>
    <t>วันที่ 03/08/69 PO.03/08/69</t>
  </si>
  <si>
    <t>ผู้ส่ง : 7-11 บางบัวทอง 4ล้อจัมโบ้</t>
  </si>
  <si>
    <t>วันที่ 05/08/69 PO.05/08/69</t>
  </si>
  <si>
    <t xml:space="preserve">สตรอเบอร์รี่ 250 กรัม x 27 P </t>
  </si>
  <si>
    <t xml:space="preserve">Straw  AUS 250 g.  ( 2003009710008 )             </t>
  </si>
  <si>
    <t xml:space="preserve">สตรอเบอร์รี่ 250 กรัม x 27P </t>
  </si>
  <si>
    <t>แอปเปิ้ลแพ็ก 4 ผล(400 กรัม) x14 P</t>
  </si>
  <si>
    <t>ส้มแพ็ก 4 ผล(450 กรัม) x14 P</t>
  </si>
  <si>
    <t>Apple P.4 (8859388000568 )</t>
  </si>
  <si>
    <t>Mandarin orange P.4 (8859388000445)</t>
  </si>
  <si>
    <t xml:space="preserve">Pear 800g  (8859388010277 )  </t>
  </si>
  <si>
    <t>สาลี่ทอง แพ็ก 4 ผล (800g.) x 8 P</t>
  </si>
  <si>
    <t>ผู้ส่ง : 7-11 บางบัวทอง 6 ล้อ 83-8096 โม</t>
  </si>
  <si>
    <t>วันที่ 28/08/69 PO.28/08/69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</si>
</sst>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8"/>
      <name val="Aptos Narrow"/>
      <family val="2"/>
      <scheme val="minor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b/>
      <sz val="18"/>
      <color theme="1"/>
      <name val="Angsana New"/>
      <family val="1"/>
    </font>
    <font>
      <b/>
      <sz val="36"/>
      <color theme="1"/>
      <name val="Angsana New"/>
      <family val="1"/>
    </font>
    <font>
      <b/>
      <sz val="20"/>
      <color rgb="FFFF0000"/>
      <name val="Angsana New"/>
      <family val="1"/>
    </font>
    <font>
      <sz val="20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sz val="18"/>
      <color theme="1"/>
      <name val="Arial Narrow"/>
      <family val="2"/>
      <charset val="222"/>
    </font>
    <font>
      <b/>
      <sz val="18"/>
      <color theme="1"/>
      <name val="Arial Narrow"/>
      <family val="2"/>
      <charset val="222"/>
    </font>
    <font>
      <sz val="18"/>
      <color theme="1"/>
      <name val="Angsana New"/>
      <family val="1"/>
      <charset val="222"/>
    </font>
    <font>
      <b/>
      <sz val="30"/>
      <color theme="1"/>
      <name val="Arial Narrow"/>
      <family val="2"/>
    </font>
    <font>
      <b/>
      <sz val="40"/>
      <color theme="1"/>
      <name val="Angsana New"/>
      <family val="1"/>
    </font>
    <font>
      <sz val="40"/>
      <color theme="1"/>
      <name val="Angsana New"/>
      <family val="1"/>
    </font>
    <font>
      <b/>
      <sz val="72"/>
      <color theme="1"/>
      <name val="Arial Narrow"/>
      <family val="2"/>
    </font>
    <font>
      <b/>
      <sz val="50"/>
      <color theme="1"/>
      <name val="CordiaUPC"/>
      <family val="2"/>
    </font>
    <font>
      <b/>
      <sz val="50"/>
      <name val="CordiaUPC"/>
      <family val="2"/>
    </font>
    <font>
      <b/>
      <sz val="50"/>
      <color rgb="FF0000FF"/>
      <name val="CordiaUPC"/>
      <family val="2"/>
    </font>
    <font>
      <sz val="50"/>
      <color theme="1"/>
      <name val="CordiaUPC"/>
      <family val="2"/>
    </font>
    <font>
      <b/>
      <u/>
      <sz val="50"/>
      <color theme="1"/>
      <name val="CordiaUPC"/>
      <family val="2"/>
    </font>
    <font>
      <b/>
      <sz val="40"/>
      <color theme="3"/>
      <name val="CordiaUPC"/>
      <family val="2"/>
    </font>
    <font>
      <b/>
      <sz val="60"/>
      <color theme="1"/>
      <name val="CordiaUPC"/>
      <family val="2"/>
    </font>
    <font>
      <b/>
      <sz val="40"/>
      <color theme="1"/>
      <name val="CordiaUPC"/>
      <family val="2"/>
    </font>
    <font>
      <b/>
      <sz val="50"/>
      <color theme="1"/>
      <name val="CordiaUPC"/>
      <family val="2"/>
      <charset val="222"/>
    </font>
    <font>
      <sz val="50"/>
      <color theme="1"/>
      <name val="CordiaUPC"/>
      <family val="2"/>
      <charset val="222"/>
    </font>
    <font>
      <sz val="50"/>
      <color theme="1"/>
      <name val="Angsana New"/>
      <family val="1"/>
      <charset val="222"/>
    </font>
    <font>
      <b/>
      <sz val="60"/>
      <color theme="1"/>
      <name val="Angsana New"/>
      <family val="1"/>
    </font>
    <font>
      <b/>
      <sz val="37"/>
      <color theme="1"/>
      <name val="Arial"/>
      <family val="2"/>
    </font>
    <font>
      <b/>
      <sz val="37"/>
      <color rgb="FF0000FF"/>
      <name val="Arial"/>
      <family val="2"/>
    </font>
    <font>
      <b/>
      <sz val="37"/>
      <color theme="8" tint="-0.249977111117893"/>
      <name val="Arial"/>
      <family val="2"/>
    </font>
    <font>
      <b/>
      <sz val="37"/>
      <color rgb="FFFF0000"/>
      <name val="Arial"/>
      <family val="2"/>
    </font>
    <font>
      <b/>
      <sz val="37"/>
      <color theme="9" tint="-0.249977111117893"/>
      <name val="Arial"/>
      <family val="2"/>
    </font>
    <font>
      <b/>
      <sz val="60"/>
      <name val="CordiaUPC"/>
      <family val="2"/>
    </font>
    <font>
      <sz val="60"/>
      <color theme="1"/>
      <name val="Angsana New"/>
      <family val="1"/>
    </font>
    <font>
      <sz val="16"/>
      <name val="Angsana New"/>
      <family val="1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C82613"/>
      <name val="Arial"/>
      <family val="2"/>
    </font>
    <font>
      <sz val="10"/>
      <color rgb="FF000000"/>
      <name val="Arial"/>
      <family val="2"/>
    </font>
    <font>
      <b/>
      <sz val="70"/>
      <color theme="1"/>
      <name val="CordiaUPC"/>
      <family val="2"/>
    </font>
    <font>
      <b/>
      <sz val="55"/>
      <color theme="1"/>
      <name val="CordiaUPC"/>
      <family val="2"/>
    </font>
    <font>
      <b/>
      <sz val="60"/>
      <name val="Arial"/>
      <family val="2"/>
    </font>
    <font>
      <sz val="16"/>
      <color rgb="FF000000"/>
      <name val="Angsana New"/>
      <family val="1"/>
    </font>
    <font>
      <b/>
      <sz val="45"/>
      <color theme="8" tint="-0.249977111117893"/>
      <name val="Arial"/>
      <family val="2"/>
    </font>
    <font>
      <b/>
      <sz val="45"/>
      <color rgb="FFFF0000"/>
      <name val="Arial"/>
      <family val="2"/>
    </font>
    <font>
      <b/>
      <sz val="38"/>
      <color rgb="FF000000"/>
      <name val="Arial"/>
      <family val="2"/>
    </font>
    <font>
      <b/>
      <sz val="38"/>
      <color theme="1"/>
      <name val="Arial"/>
      <family val="2"/>
    </font>
    <font>
      <b/>
      <sz val="55"/>
      <name val="Arial"/>
      <family val="2"/>
    </font>
    <font>
      <b/>
      <u/>
      <sz val="55"/>
      <name val="Arial"/>
      <family val="2"/>
    </font>
    <font>
      <b/>
      <sz val="50"/>
      <name val="Arial"/>
      <family val="2"/>
    </font>
    <font>
      <b/>
      <sz val="70"/>
      <color theme="1"/>
      <name val="Angsana New"/>
      <family val="1"/>
    </font>
    <font>
      <b/>
      <sz val="100"/>
      <color theme="3"/>
      <name val="CordiaUPC"/>
      <family val="2"/>
    </font>
    <font>
      <b/>
      <sz val="43"/>
      <color rgb="FF0000FF"/>
      <name val="Arial"/>
      <family val="2"/>
    </font>
    <font>
      <b/>
      <sz val="43"/>
      <color theme="9" tint="-0.249977111117893"/>
      <name val="Arial"/>
      <family val="2"/>
    </font>
    <font>
      <b/>
      <u/>
      <sz val="80"/>
      <color theme="1"/>
      <name val="CordiaUPC"/>
      <family val="2"/>
    </font>
    <font>
      <b/>
      <sz val="50"/>
      <color rgb="FF003399"/>
      <name val="CordiaUPC"/>
      <family val="2"/>
    </font>
    <font>
      <b/>
      <u/>
      <sz val="48"/>
      <name val="CordiaUPC"/>
      <family val="2"/>
    </font>
    <font>
      <b/>
      <u/>
      <sz val="48"/>
      <color rgb="FFFF0000"/>
      <name val="CordiaUPC"/>
      <family val="2"/>
    </font>
    <font>
      <b/>
      <sz val="45"/>
      <color theme="9" tint="-0.249977111117893"/>
      <name val="Arial"/>
      <family val="2"/>
    </font>
    <font>
      <b/>
      <sz val="60"/>
      <color rgb="FF0000FF"/>
      <name val="Arial"/>
      <family val="2"/>
    </font>
    <font>
      <b/>
      <u/>
      <sz val="60"/>
      <color rgb="FF00B050"/>
      <name val="Arial"/>
      <family val="2"/>
    </font>
    <font>
      <b/>
      <sz val="45"/>
      <color theme="1"/>
      <name val="Angsana New"/>
      <family val="1"/>
    </font>
    <font>
      <b/>
      <sz val="60"/>
      <color theme="9" tint="-0.249977111117893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Arial"/>
      <family val="2"/>
    </font>
    <font>
      <b/>
      <sz val="55"/>
      <color rgb="FF000000"/>
      <name val="Arial"/>
      <family val="2"/>
    </font>
    <font>
      <b/>
      <sz val="55"/>
      <color theme="1"/>
      <name val="Arial"/>
      <family val="2"/>
    </font>
    <font>
      <b/>
      <sz val="45"/>
      <color theme="1"/>
      <name val="Arial"/>
      <family val="2"/>
    </font>
    <font>
      <b/>
      <sz val="45"/>
      <color theme="9" tint="-0.499984740745262"/>
      <name val="Arial"/>
      <family val="2"/>
    </font>
    <font>
      <b/>
      <sz val="45"/>
      <name val="Arial"/>
      <family val="2"/>
    </font>
    <font>
      <b/>
      <sz val="45"/>
      <color rgb="FF000000"/>
      <name val="Arial"/>
      <family val="2"/>
    </font>
    <font>
      <b/>
      <sz val="65"/>
      <color theme="1"/>
      <name val="Arial Narrow"/>
      <family val="2"/>
    </font>
    <font>
      <b/>
      <sz val="55"/>
      <color rgb="FF003399"/>
      <name val="CordiaUPC"/>
      <family val="2"/>
    </font>
    <font>
      <b/>
      <sz val="38"/>
      <name val="Arial"/>
      <family val="2"/>
    </font>
    <font>
      <b/>
      <sz val="30"/>
      <color theme="9" tint="-0.499984740745262"/>
      <name val="Arial"/>
      <family val="2"/>
    </font>
    <font>
      <b/>
      <sz val="30"/>
      <color theme="9" tint="-0.249977111117893"/>
      <name val="Arial"/>
      <family val="2"/>
    </font>
    <font>
      <b/>
      <sz val="45"/>
      <color rgb="FF0000FF"/>
      <name val="Arial"/>
      <family val="2"/>
    </font>
    <font>
      <b/>
      <u/>
      <sz val="45"/>
      <color rgb="FF00B050"/>
      <name val="Arial"/>
      <family val="2"/>
    </font>
    <font>
      <sz val="80"/>
      <color theme="1"/>
      <name val="Angsana New"/>
      <family val="1"/>
    </font>
    <font>
      <b/>
      <sz val="80"/>
      <color theme="1"/>
      <name val="Angsana New"/>
      <family val="1"/>
    </font>
    <font>
      <b/>
      <u/>
      <sz val="100"/>
      <color theme="1"/>
      <name val="CordiaUPC"/>
      <family val="2"/>
    </font>
    <font>
      <b/>
      <sz val="39"/>
      <color rgb="FF0000FF"/>
      <name val="Arial"/>
      <family val="2"/>
    </font>
    <font>
      <b/>
      <sz val="39"/>
      <color theme="9" tint="-0.24997711111789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5" fillId="0" borderId="0"/>
    <xf numFmtId="0" fontId="16" fillId="0" borderId="0"/>
    <xf numFmtId="0" fontId="1" fillId="0" borderId="0"/>
    <xf numFmtId="0" fontId="1" fillId="0" borderId="0"/>
    <xf numFmtId="0" fontId="1" fillId="0" borderId="0"/>
  </cellStyleXfs>
  <cellXfs count="377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1" applyFont="1" applyAlignment="1">
      <alignment vertical="center"/>
    </xf>
    <xf numFmtId="0" fontId="2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1" applyFont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26" fillId="10" borderId="12" xfId="1" applyFont="1" applyFill="1" applyBorder="1" applyAlignment="1">
      <alignment horizontal="center" vertical="center" wrapText="1"/>
    </xf>
    <xf numFmtId="0" fontId="25" fillId="10" borderId="12" xfId="1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32" fillId="0" borderId="23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7" fillId="0" borderId="29" xfId="1" applyNumberFormat="1" applyFont="1" applyBorder="1" applyAlignment="1">
      <alignment horizontal="center" vertical="center"/>
    </xf>
    <xf numFmtId="3" fontId="40" fillId="0" borderId="31" xfId="1" quotePrefix="1" applyNumberFormat="1" applyFont="1" applyBorder="1" applyAlignment="1">
      <alignment horizontal="center" vertical="center"/>
    </xf>
    <xf numFmtId="3" fontId="37" fillId="0" borderId="30" xfId="1" applyNumberFormat="1" applyFont="1" applyBorder="1" applyAlignment="1">
      <alignment horizontal="center" vertical="center"/>
    </xf>
    <xf numFmtId="3" fontId="37" fillId="2" borderId="29" xfId="1" quotePrefix="1" applyNumberFormat="1" applyFont="1" applyFill="1" applyBorder="1" applyAlignment="1">
      <alignment horizontal="center" vertical="center"/>
    </xf>
    <xf numFmtId="3" fontId="40" fillId="2" borderId="47" xfId="1" quotePrefix="1" applyNumberFormat="1" applyFont="1" applyFill="1" applyBorder="1" applyAlignment="1">
      <alignment horizontal="center" vertical="center"/>
    </xf>
    <xf numFmtId="3" fontId="37" fillId="2" borderId="29" xfId="1" applyNumberFormat="1" applyFont="1" applyFill="1" applyBorder="1" applyAlignment="1">
      <alignment horizontal="center" vertical="center"/>
    </xf>
    <xf numFmtId="3" fontId="40" fillId="2" borderId="31" xfId="1" quotePrefix="1" applyNumberFormat="1" applyFont="1" applyFill="1" applyBorder="1" applyAlignment="1">
      <alignment horizontal="center" vertical="center"/>
    </xf>
    <xf numFmtId="3" fontId="37" fillId="2" borderId="30" xfId="1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3" fillId="10" borderId="16" xfId="1" applyFont="1" applyFill="1" applyBorder="1"/>
    <xf numFmtId="0" fontId="3" fillId="0" borderId="9" xfId="0" applyFont="1" applyBorder="1" applyAlignment="1">
      <alignment horizontal="center" vertical="center" wrapText="1"/>
    </xf>
    <xf numFmtId="0" fontId="44" fillId="11" borderId="17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6" fillId="11" borderId="19" xfId="0" applyFont="1" applyFill="1" applyBorder="1" applyAlignment="1">
      <alignment horizontal="center" vertical="center" wrapText="1"/>
    </xf>
    <xf numFmtId="0" fontId="44" fillId="11" borderId="19" xfId="0" applyFont="1" applyFill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47" fillId="0" borderId="19" xfId="0" applyFont="1" applyBorder="1" applyAlignment="1">
      <alignment horizontal="center" vertical="center"/>
    </xf>
    <xf numFmtId="3" fontId="38" fillId="0" borderId="0" xfId="1" applyNumberFormat="1" applyFont="1" applyAlignment="1">
      <alignment horizontal="center" vertical="center"/>
    </xf>
    <xf numFmtId="3" fontId="39" fillId="0" borderId="0" xfId="1" applyNumberFormat="1" applyFont="1" applyAlignment="1">
      <alignment horizontal="center" vertical="center"/>
    </xf>
    <xf numFmtId="3" fontId="50" fillId="0" borderId="16" xfId="1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6" fillId="4" borderId="15" xfId="1" applyFont="1" applyFill="1" applyBorder="1" applyAlignment="1">
      <alignment horizontal="center" vertical="center"/>
    </xf>
    <xf numFmtId="3" fontId="56" fillId="4" borderId="13" xfId="1" applyNumberFormat="1" applyFont="1" applyFill="1" applyBorder="1" applyAlignment="1">
      <alignment horizontal="center" vertical="center"/>
    </xf>
    <xf numFmtId="3" fontId="57" fillId="4" borderId="13" xfId="1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59" fillId="4" borderId="34" xfId="0" applyFont="1" applyFill="1" applyBorder="1" applyAlignment="1">
      <alignment horizontal="center" vertical="center"/>
    </xf>
    <xf numFmtId="0" fontId="59" fillId="3" borderId="3" xfId="0" applyFont="1" applyFill="1" applyBorder="1" applyAlignment="1">
      <alignment horizontal="center" vertical="center"/>
    </xf>
    <xf numFmtId="0" fontId="59" fillId="4" borderId="3" xfId="0" applyFont="1" applyFill="1" applyBorder="1" applyAlignment="1">
      <alignment horizontal="center" vertical="center"/>
    </xf>
    <xf numFmtId="0" fontId="59" fillId="4" borderId="35" xfId="0" applyFont="1" applyFill="1" applyBorder="1" applyAlignment="1">
      <alignment horizontal="center" vertical="center"/>
    </xf>
    <xf numFmtId="3" fontId="59" fillId="4" borderId="32" xfId="0" applyNumberFormat="1" applyFont="1" applyFill="1" applyBorder="1" applyAlignment="1">
      <alignment horizontal="center" vertical="center"/>
    </xf>
    <xf numFmtId="3" fontId="59" fillId="3" borderId="1" xfId="0" applyNumberFormat="1" applyFont="1" applyFill="1" applyBorder="1" applyAlignment="1">
      <alignment horizontal="center" vertical="center"/>
    </xf>
    <xf numFmtId="3" fontId="59" fillId="4" borderId="1" xfId="0" applyNumberFormat="1" applyFont="1" applyFill="1" applyBorder="1" applyAlignment="1">
      <alignment horizontal="center" vertical="center"/>
    </xf>
    <xf numFmtId="3" fontId="59" fillId="4" borderId="33" xfId="0" applyNumberFormat="1" applyFont="1" applyFill="1" applyBorder="1" applyAlignment="1">
      <alignment horizontal="center" vertical="center"/>
    </xf>
    <xf numFmtId="0" fontId="59" fillId="4" borderId="32" xfId="0" applyFont="1" applyFill="1" applyBorder="1" applyAlignment="1">
      <alignment horizontal="center" vertical="center"/>
    </xf>
    <xf numFmtId="0" fontId="59" fillId="3" borderId="1" xfId="0" applyFont="1" applyFill="1" applyBorder="1" applyAlignment="1">
      <alignment horizontal="center" vertical="center"/>
    </xf>
    <xf numFmtId="0" fontId="59" fillId="4" borderId="1" xfId="0" applyFont="1" applyFill="1" applyBorder="1" applyAlignment="1">
      <alignment horizontal="center" vertical="center"/>
    </xf>
    <xf numFmtId="0" fontId="59" fillId="4" borderId="33" xfId="0" applyFont="1" applyFill="1" applyBorder="1" applyAlignment="1">
      <alignment horizontal="center" vertical="center"/>
    </xf>
    <xf numFmtId="3" fontId="59" fillId="4" borderId="0" xfId="0" applyNumberFormat="1" applyFont="1" applyFill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4" borderId="0" xfId="0" applyFont="1" applyFill="1" applyAlignment="1">
      <alignment horizontal="center" vertical="center"/>
    </xf>
    <xf numFmtId="3" fontId="59" fillId="3" borderId="0" xfId="0" applyNumberFormat="1" applyFont="1" applyFill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3" fontId="61" fillId="0" borderId="44" xfId="1" applyNumberFormat="1" applyFont="1" applyBorder="1" applyAlignment="1">
      <alignment horizontal="center" vertical="center"/>
    </xf>
    <xf numFmtId="3" fontId="61" fillId="0" borderId="29" xfId="1" applyNumberFormat="1" applyFont="1" applyBorder="1" applyAlignment="1">
      <alignment horizontal="center" vertical="center"/>
    </xf>
    <xf numFmtId="3" fontId="61" fillId="0" borderId="45" xfId="1" applyNumberFormat="1" applyFont="1" applyBorder="1" applyAlignment="1">
      <alignment horizontal="center" vertical="center"/>
    </xf>
    <xf numFmtId="3" fontId="62" fillId="0" borderId="31" xfId="1" quotePrefix="1" applyNumberFormat="1" applyFont="1" applyBorder="1" applyAlignment="1">
      <alignment horizontal="center" vertical="center"/>
    </xf>
    <xf numFmtId="3" fontId="61" fillId="0" borderId="46" xfId="1" applyNumberFormat="1" applyFont="1" applyBorder="1" applyAlignment="1">
      <alignment horizontal="center" vertical="center"/>
    </xf>
    <xf numFmtId="3" fontId="61" fillId="0" borderId="30" xfId="1" applyNumberFormat="1" applyFont="1" applyBorder="1" applyAlignment="1">
      <alignment horizontal="center" vertical="center"/>
    </xf>
    <xf numFmtId="3" fontId="61" fillId="2" borderId="30" xfId="1" applyNumberFormat="1" applyFont="1" applyFill="1" applyBorder="1" applyAlignment="1">
      <alignment horizontal="center" vertical="center"/>
    </xf>
    <xf numFmtId="3" fontId="61" fillId="0" borderId="48" xfId="1" applyNumberFormat="1" applyFont="1" applyBorder="1" applyAlignment="1">
      <alignment horizontal="center" vertical="center"/>
    </xf>
    <xf numFmtId="3" fontId="61" fillId="0" borderId="44" xfId="1" quotePrefix="1" applyNumberFormat="1" applyFont="1" applyBorder="1" applyAlignment="1">
      <alignment horizontal="center" vertical="center"/>
    </xf>
    <xf numFmtId="3" fontId="61" fillId="0" borderId="29" xfId="1" quotePrefix="1" applyNumberFormat="1" applyFont="1" applyBorder="1" applyAlignment="1">
      <alignment horizontal="center" vertical="center"/>
    </xf>
    <xf numFmtId="3" fontId="61" fillId="0" borderId="45" xfId="1" quotePrefix="1" applyNumberFormat="1" applyFont="1" applyBorder="1" applyAlignment="1">
      <alignment horizontal="center" vertical="center"/>
    </xf>
    <xf numFmtId="3" fontId="62" fillId="0" borderId="47" xfId="1" quotePrefix="1" applyNumberFormat="1" applyFont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19" xfId="1" applyFont="1" applyFill="1" applyBorder="1"/>
    <xf numFmtId="3" fontId="50" fillId="2" borderId="19" xfId="1" applyNumberFormat="1" applyFont="1" applyFill="1" applyBorder="1" applyAlignment="1">
      <alignment horizontal="center" vertical="center"/>
    </xf>
    <xf numFmtId="0" fontId="64" fillId="9" borderId="40" xfId="1" applyFont="1" applyFill="1" applyBorder="1" applyAlignment="1">
      <alignment horizontal="center" vertical="center" wrapText="1"/>
    </xf>
    <xf numFmtId="0" fontId="64" fillId="9" borderId="22" xfId="1" applyFont="1" applyFill="1" applyBorder="1" applyAlignment="1">
      <alignment horizontal="center" vertical="center" wrapText="1"/>
    </xf>
    <xf numFmtId="0" fontId="64" fillId="7" borderId="36" xfId="1" applyFont="1" applyFill="1" applyBorder="1" applyAlignment="1">
      <alignment horizontal="center" vertical="center" wrapText="1"/>
    </xf>
    <xf numFmtId="0" fontId="64" fillId="7" borderId="22" xfId="1" applyFont="1" applyFill="1" applyBorder="1" applyAlignment="1">
      <alignment horizontal="center" vertical="center" wrapText="1"/>
    </xf>
    <xf numFmtId="0" fontId="64" fillId="6" borderId="36" xfId="1" applyFont="1" applyFill="1" applyBorder="1" applyAlignment="1">
      <alignment horizontal="center" vertical="center" wrapText="1"/>
    </xf>
    <xf numFmtId="0" fontId="64" fillId="6" borderId="17" xfId="1" applyFont="1" applyFill="1" applyBorder="1" applyAlignment="1">
      <alignment horizontal="center" vertical="center" wrapText="1"/>
    </xf>
    <xf numFmtId="0" fontId="64" fillId="5" borderId="40" xfId="1" applyFont="1" applyFill="1" applyBorder="1" applyAlignment="1">
      <alignment horizontal="center" vertical="center" wrapText="1"/>
    </xf>
    <xf numFmtId="0" fontId="64" fillId="5" borderId="17" xfId="1" applyFont="1" applyFill="1" applyBorder="1" applyAlignment="1">
      <alignment horizontal="center" vertical="center" wrapText="1"/>
    </xf>
    <xf numFmtId="0" fontId="64" fillId="8" borderId="36" xfId="1" applyFont="1" applyFill="1" applyBorder="1" applyAlignment="1">
      <alignment horizontal="center" vertical="center" wrapText="1"/>
    </xf>
    <xf numFmtId="0" fontId="64" fillId="8" borderId="25" xfId="1" applyFont="1" applyFill="1" applyBorder="1" applyAlignment="1">
      <alignment vertical="center"/>
    </xf>
    <xf numFmtId="3" fontId="61" fillId="2" borderId="46" xfId="1" applyNumberFormat="1" applyFont="1" applyFill="1" applyBorder="1" applyAlignment="1">
      <alignment horizontal="center" vertical="center"/>
    </xf>
    <xf numFmtId="3" fontId="61" fillId="2" borderId="48" xfId="1" applyNumberFormat="1" applyFont="1" applyFill="1" applyBorder="1" applyAlignment="1">
      <alignment horizontal="center" vertical="center"/>
    </xf>
    <xf numFmtId="0" fontId="36" fillId="0" borderId="12" xfId="1" applyFont="1" applyBorder="1" applyAlignment="1">
      <alignment horizontal="center" vertical="center"/>
    </xf>
    <xf numFmtId="0" fontId="36" fillId="0" borderId="13" xfId="1" applyFont="1" applyBorder="1" applyAlignment="1">
      <alignment horizontal="center" vertical="center"/>
    </xf>
    <xf numFmtId="3" fontId="68" fillId="0" borderId="44" xfId="1" applyNumberFormat="1" applyFont="1" applyBorder="1" applyAlignment="1">
      <alignment horizontal="center" vertical="center"/>
    </xf>
    <xf numFmtId="3" fontId="68" fillId="0" borderId="29" xfId="1" applyNumberFormat="1" applyFont="1" applyBorder="1" applyAlignment="1">
      <alignment horizontal="center" vertical="center"/>
    </xf>
    <xf numFmtId="3" fontId="68" fillId="0" borderId="45" xfId="1" applyNumberFormat="1" applyFont="1" applyBorder="1" applyAlignment="1">
      <alignment horizontal="center" vertical="center"/>
    </xf>
    <xf numFmtId="3" fontId="71" fillId="0" borderId="31" xfId="1" quotePrefix="1" applyNumberFormat="1" applyFont="1" applyBorder="1" applyAlignment="1">
      <alignment horizontal="center" vertical="center"/>
    </xf>
    <xf numFmtId="3" fontId="68" fillId="2" borderId="29" xfId="1" applyNumberFormat="1" applyFont="1" applyFill="1" applyBorder="1" applyAlignment="1">
      <alignment horizontal="center" vertical="center"/>
    </xf>
    <xf numFmtId="3" fontId="68" fillId="0" borderId="46" xfId="1" applyNumberFormat="1" applyFont="1" applyBorder="1" applyAlignment="1">
      <alignment horizontal="center" vertical="center"/>
    </xf>
    <xf numFmtId="3" fontId="68" fillId="0" borderId="30" xfId="1" applyNumberFormat="1" applyFont="1" applyBorder="1" applyAlignment="1">
      <alignment horizontal="center" vertical="center"/>
    </xf>
    <xf numFmtId="3" fontId="68" fillId="2" borderId="30" xfId="1" applyNumberFormat="1" applyFont="1" applyFill="1" applyBorder="1" applyAlignment="1">
      <alignment horizontal="center" vertical="center"/>
    </xf>
    <xf numFmtId="3" fontId="68" fillId="0" borderId="48" xfId="1" applyNumberFormat="1" applyFont="1" applyBorder="1" applyAlignment="1">
      <alignment horizontal="center" vertical="center"/>
    </xf>
    <xf numFmtId="3" fontId="68" fillId="0" borderId="44" xfId="1" quotePrefix="1" applyNumberFormat="1" applyFont="1" applyBorder="1" applyAlignment="1">
      <alignment horizontal="center" vertical="center"/>
    </xf>
    <xf numFmtId="3" fontId="68" fillId="0" borderId="29" xfId="1" quotePrefix="1" applyNumberFormat="1" applyFont="1" applyBorder="1" applyAlignment="1">
      <alignment horizontal="center" vertical="center"/>
    </xf>
    <xf numFmtId="3" fontId="68" fillId="2" borderId="29" xfId="1" quotePrefix="1" applyNumberFormat="1" applyFont="1" applyFill="1" applyBorder="1" applyAlignment="1">
      <alignment horizontal="center" vertical="center"/>
    </xf>
    <xf numFmtId="3" fontId="68" fillId="0" borderId="45" xfId="1" quotePrefix="1" applyNumberFormat="1" applyFont="1" applyBorder="1" applyAlignment="1">
      <alignment horizontal="center" vertical="center"/>
    </xf>
    <xf numFmtId="3" fontId="71" fillId="0" borderId="47" xfId="1" quotePrefix="1" applyNumberFormat="1" applyFont="1" applyBorder="1" applyAlignment="1">
      <alignment horizontal="center" vertical="center"/>
    </xf>
    <xf numFmtId="3" fontId="68" fillId="2" borderId="46" xfId="1" applyNumberFormat="1" applyFont="1" applyFill="1" applyBorder="1" applyAlignment="1">
      <alignment horizontal="center" vertical="center"/>
    </xf>
    <xf numFmtId="3" fontId="68" fillId="2" borderId="48" xfId="1" applyNumberFormat="1" applyFont="1" applyFill="1" applyBorder="1" applyAlignment="1">
      <alignment horizontal="center" vertical="center"/>
    </xf>
    <xf numFmtId="0" fontId="76" fillId="2" borderId="12" xfId="1" applyFont="1" applyFill="1" applyBorder="1" applyAlignment="1">
      <alignment vertical="center"/>
    </xf>
    <xf numFmtId="0" fontId="77" fillId="2" borderId="13" xfId="1" applyFont="1" applyFill="1" applyBorder="1" applyAlignment="1">
      <alignment horizontal="left" vertical="center"/>
    </xf>
    <xf numFmtId="0" fontId="76" fillId="0" borderId="12" xfId="1" applyFont="1" applyBorder="1" applyAlignment="1">
      <alignment vertical="center"/>
    </xf>
    <xf numFmtId="0" fontId="77" fillId="0" borderId="13" xfId="1" applyFont="1" applyBorder="1" applyAlignment="1">
      <alignment horizontal="left" vertical="center"/>
    </xf>
    <xf numFmtId="0" fontId="67" fillId="0" borderId="13" xfId="1" applyFont="1" applyBorder="1" applyAlignment="1">
      <alignment horizontal="left" vertical="center"/>
    </xf>
    <xf numFmtId="0" fontId="78" fillId="0" borderId="12" xfId="1" applyFont="1" applyBorder="1" applyAlignment="1">
      <alignment horizontal="left" vertical="center"/>
    </xf>
    <xf numFmtId="0" fontId="79" fillId="0" borderId="12" xfId="1" applyFont="1" applyBorder="1" applyAlignment="1">
      <alignment vertical="center"/>
    </xf>
    <xf numFmtId="0" fontId="50" fillId="4" borderId="15" xfId="1" applyFont="1" applyFill="1" applyBorder="1" applyAlignment="1">
      <alignment horizontal="center" vertical="center"/>
    </xf>
    <xf numFmtId="3" fontId="50" fillId="0" borderId="28" xfId="1" applyNumberFormat="1" applyFont="1" applyBorder="1" applyAlignment="1">
      <alignment horizontal="center" vertical="center"/>
    </xf>
    <xf numFmtId="3" fontId="50" fillId="2" borderId="25" xfId="1" applyNumberFormat="1" applyFont="1" applyFill="1" applyBorder="1" applyAlignment="1">
      <alignment horizontal="center" vertical="center"/>
    </xf>
    <xf numFmtId="0" fontId="54" fillId="0" borderId="12" xfId="1" applyFont="1" applyBorder="1" applyAlignment="1">
      <alignment horizontal="center" vertical="center"/>
    </xf>
    <xf numFmtId="0" fontId="54" fillId="0" borderId="13" xfId="1" applyFont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43" fillId="0" borderId="1" xfId="1" applyFont="1" applyBorder="1" applyAlignment="1">
      <alignment horizontal="left" vertical="center"/>
    </xf>
    <xf numFmtId="0" fontId="51" fillId="0" borderId="1" xfId="1" applyFont="1" applyBorder="1" applyAlignment="1">
      <alignment vertical="center"/>
    </xf>
    <xf numFmtId="0" fontId="64" fillId="9" borderId="50" xfId="1" applyFont="1" applyFill="1" applyBorder="1" applyAlignment="1">
      <alignment horizontal="center" vertical="center" wrapText="1"/>
    </xf>
    <xf numFmtId="0" fontId="64" fillId="9" borderId="28" xfId="1" applyFont="1" applyFill="1" applyBorder="1" applyAlignment="1">
      <alignment horizontal="center" vertical="center" wrapText="1"/>
    </xf>
    <xf numFmtId="0" fontId="64" fillId="7" borderId="50" xfId="1" applyFont="1" applyFill="1" applyBorder="1" applyAlignment="1">
      <alignment horizontal="center" vertical="center" wrapText="1"/>
    </xf>
    <xf numFmtId="0" fontId="64" fillId="7" borderId="28" xfId="1" applyFont="1" applyFill="1" applyBorder="1" applyAlignment="1">
      <alignment horizontal="center" vertical="center" wrapText="1"/>
    </xf>
    <xf numFmtId="0" fontId="64" fillId="6" borderId="50" xfId="1" applyFont="1" applyFill="1" applyBorder="1" applyAlignment="1">
      <alignment horizontal="center" vertical="center" wrapText="1"/>
    </xf>
    <xf numFmtId="0" fontId="64" fillId="6" borderId="25" xfId="1" applyFont="1" applyFill="1" applyBorder="1" applyAlignment="1">
      <alignment horizontal="center" vertical="center" wrapText="1"/>
    </xf>
    <xf numFmtId="0" fontId="64" fillId="5" borderId="51" xfId="1" applyFont="1" applyFill="1" applyBorder="1" applyAlignment="1">
      <alignment horizontal="center" vertical="center" wrapText="1"/>
    </xf>
    <xf numFmtId="0" fontId="64" fillId="5" borderId="25" xfId="1" applyFont="1" applyFill="1" applyBorder="1" applyAlignment="1">
      <alignment horizontal="center" vertical="center" wrapText="1"/>
    </xf>
    <xf numFmtId="0" fontId="64" fillId="8" borderId="50" xfId="1" applyFont="1" applyFill="1" applyBorder="1" applyAlignment="1">
      <alignment horizontal="center" vertical="center" wrapText="1"/>
    </xf>
    <xf numFmtId="0" fontId="64" fillId="8" borderId="23" xfId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vertical="center"/>
    </xf>
    <xf numFmtId="0" fontId="23" fillId="10" borderId="0" xfId="1" applyFont="1" applyFill="1"/>
    <xf numFmtId="0" fontId="26" fillId="10" borderId="23" xfId="1" applyFont="1" applyFill="1" applyBorder="1" applyAlignment="1">
      <alignment horizontal="center" vertical="center" wrapText="1"/>
    </xf>
    <xf numFmtId="0" fontId="25" fillId="10" borderId="23" xfId="1" applyFont="1" applyFill="1" applyBorder="1" applyAlignment="1">
      <alignment horizontal="center" vertical="center" wrapText="1"/>
    </xf>
    <xf numFmtId="0" fontId="80" fillId="0" borderId="0" xfId="1" applyFont="1"/>
    <xf numFmtId="0" fontId="80" fillId="0" borderId="16" xfId="1" applyFont="1" applyBorder="1"/>
    <xf numFmtId="0" fontId="55" fillId="2" borderId="12" xfId="1" applyFont="1" applyFill="1" applyBorder="1" applyAlignment="1">
      <alignment vertical="center"/>
    </xf>
    <xf numFmtId="0" fontId="55" fillId="0" borderId="12" xfId="1" applyFont="1" applyBorder="1" applyAlignment="1">
      <alignment vertical="center"/>
    </xf>
    <xf numFmtId="0" fontId="82" fillId="0" borderId="12" xfId="1" applyFont="1" applyBorder="1" applyAlignment="1">
      <alignment horizontal="left" vertical="center"/>
    </xf>
    <xf numFmtId="0" fontId="54" fillId="0" borderId="12" xfId="1" applyFont="1" applyBorder="1" applyAlignment="1">
      <alignment vertical="center"/>
    </xf>
    <xf numFmtId="0" fontId="83" fillId="2" borderId="13" xfId="1" applyFont="1" applyFill="1" applyBorder="1" applyAlignment="1">
      <alignment horizontal="left" vertical="center"/>
    </xf>
    <xf numFmtId="0" fontId="83" fillId="0" borderId="13" xfId="1" applyFont="1" applyBorder="1" applyAlignment="1">
      <alignment horizontal="left" vertical="center"/>
    </xf>
    <xf numFmtId="0" fontId="84" fillId="0" borderId="13" xfId="1" applyFont="1" applyBorder="1" applyAlignment="1">
      <alignment horizontal="left" vertical="center"/>
    </xf>
    <xf numFmtId="0" fontId="87" fillId="0" borderId="0" xfId="0" applyFont="1" applyAlignment="1">
      <alignment horizontal="center" vertical="center"/>
    </xf>
    <xf numFmtId="0" fontId="88" fillId="4" borderId="34" xfId="0" applyFont="1" applyFill="1" applyBorder="1" applyAlignment="1">
      <alignment horizontal="center" vertical="center"/>
    </xf>
    <xf numFmtId="0" fontId="88" fillId="3" borderId="3" xfId="0" applyFont="1" applyFill="1" applyBorder="1" applyAlignment="1">
      <alignment horizontal="center" vertical="center"/>
    </xf>
    <xf numFmtId="0" fontId="88" fillId="4" borderId="3" xfId="0" applyFont="1" applyFill="1" applyBorder="1" applyAlignment="1">
      <alignment horizontal="center" vertical="center"/>
    </xf>
    <xf numFmtId="0" fontId="88" fillId="4" borderId="35" xfId="0" applyFont="1" applyFill="1" applyBorder="1" applyAlignment="1">
      <alignment horizontal="center" vertical="center"/>
    </xf>
    <xf numFmtId="3" fontId="88" fillId="4" borderId="32" xfId="0" applyNumberFormat="1" applyFont="1" applyFill="1" applyBorder="1" applyAlignment="1">
      <alignment horizontal="center" vertical="center"/>
    </xf>
    <xf numFmtId="3" fontId="88" fillId="3" borderId="1" xfId="0" applyNumberFormat="1" applyFont="1" applyFill="1" applyBorder="1" applyAlignment="1">
      <alignment horizontal="center" vertical="center"/>
    </xf>
    <xf numFmtId="3" fontId="88" fillId="4" borderId="1" xfId="0" applyNumberFormat="1" applyFont="1" applyFill="1" applyBorder="1" applyAlignment="1">
      <alignment horizontal="center" vertical="center"/>
    </xf>
    <xf numFmtId="3" fontId="88" fillId="4" borderId="33" xfId="0" applyNumberFormat="1" applyFont="1" applyFill="1" applyBorder="1" applyAlignment="1">
      <alignment horizontal="center" vertical="center"/>
    </xf>
    <xf numFmtId="0" fontId="88" fillId="4" borderId="32" xfId="0" applyFont="1" applyFill="1" applyBorder="1" applyAlignment="1">
      <alignment horizontal="center" vertical="center"/>
    </xf>
    <xf numFmtId="0" fontId="88" fillId="3" borderId="1" xfId="0" applyFont="1" applyFill="1" applyBorder="1" applyAlignment="1">
      <alignment horizontal="center" vertical="center"/>
    </xf>
    <xf numFmtId="0" fontId="88" fillId="4" borderId="1" xfId="0" applyFont="1" applyFill="1" applyBorder="1" applyAlignment="1">
      <alignment horizontal="center" vertical="center"/>
    </xf>
    <xf numFmtId="0" fontId="88" fillId="4" borderId="33" xfId="0" applyFont="1" applyFill="1" applyBorder="1" applyAlignment="1">
      <alignment horizontal="center" vertical="center"/>
    </xf>
    <xf numFmtId="3" fontId="88" fillId="4" borderId="0" xfId="0" applyNumberFormat="1" applyFont="1" applyFill="1" applyAlignment="1">
      <alignment horizontal="center" vertical="center"/>
    </xf>
    <xf numFmtId="0" fontId="88" fillId="3" borderId="0" xfId="0" applyFont="1" applyFill="1" applyAlignment="1">
      <alignment horizontal="center" vertical="center"/>
    </xf>
    <xf numFmtId="0" fontId="88" fillId="4" borderId="0" xfId="0" applyFont="1" applyFill="1" applyAlignment="1">
      <alignment horizontal="center" vertical="center"/>
    </xf>
    <xf numFmtId="3" fontId="88" fillId="3" borderId="0" xfId="0" applyNumberFormat="1" applyFont="1" applyFill="1" applyAlignment="1">
      <alignment horizontal="center" vertical="center"/>
    </xf>
    <xf numFmtId="3" fontId="56" fillId="0" borderId="23" xfId="1" applyNumberFormat="1" applyFont="1" applyBorder="1" applyAlignment="1">
      <alignment horizontal="center" vertical="center"/>
    </xf>
    <xf numFmtId="3" fontId="57" fillId="0" borderId="23" xfId="1" applyNumberFormat="1" applyFont="1" applyBorder="1" applyAlignment="1">
      <alignment horizontal="center" vertical="center"/>
    </xf>
    <xf numFmtId="0" fontId="54" fillId="2" borderId="12" xfId="1" applyFont="1" applyFill="1" applyBorder="1" applyAlignment="1">
      <alignment horizontal="center" vertical="center"/>
    </xf>
    <xf numFmtId="0" fontId="54" fillId="2" borderId="13" xfId="1" applyFont="1" applyFill="1" applyBorder="1" applyAlignment="1">
      <alignment horizontal="center" vertical="center"/>
    </xf>
    <xf numFmtId="0" fontId="84" fillId="2" borderId="13" xfId="1" applyFont="1" applyFill="1" applyBorder="1" applyAlignment="1">
      <alignment horizontal="left" vertical="center"/>
    </xf>
    <xf numFmtId="0" fontId="32" fillId="0" borderId="16" xfId="0" applyFont="1" applyBorder="1" applyAlignment="1">
      <alignment vertical="center"/>
    </xf>
    <xf numFmtId="3" fontId="90" fillId="0" borderId="44" xfId="1" applyNumberFormat="1" applyFont="1" applyBorder="1" applyAlignment="1">
      <alignment horizontal="center" vertical="center"/>
    </xf>
    <xf numFmtId="3" fontId="90" fillId="0" borderId="29" xfId="1" applyNumberFormat="1" applyFont="1" applyBorder="1" applyAlignment="1">
      <alignment horizontal="center" vertical="center"/>
    </xf>
    <xf numFmtId="3" fontId="90" fillId="0" borderId="45" xfId="1" applyNumberFormat="1" applyFont="1" applyBorder="1" applyAlignment="1">
      <alignment horizontal="center" vertical="center"/>
    </xf>
    <xf numFmtId="3" fontId="91" fillId="0" borderId="31" xfId="1" quotePrefix="1" applyNumberFormat="1" applyFont="1" applyBorder="1" applyAlignment="1">
      <alignment horizontal="center" vertical="center"/>
    </xf>
    <xf numFmtId="3" fontId="90" fillId="2" borderId="29" xfId="1" applyNumberFormat="1" applyFont="1" applyFill="1" applyBorder="1" applyAlignment="1">
      <alignment horizontal="center" vertical="center"/>
    </xf>
    <xf numFmtId="3" fontId="90" fillId="0" borderId="46" xfId="1" applyNumberFormat="1" applyFont="1" applyBorder="1" applyAlignment="1">
      <alignment horizontal="center" vertical="center"/>
    </xf>
    <xf numFmtId="3" fontId="90" fillId="0" borderId="30" xfId="1" applyNumberFormat="1" applyFont="1" applyBorder="1" applyAlignment="1">
      <alignment horizontal="center" vertical="center"/>
    </xf>
    <xf numFmtId="3" fontId="90" fillId="2" borderId="30" xfId="1" applyNumberFormat="1" applyFont="1" applyFill="1" applyBorder="1" applyAlignment="1">
      <alignment horizontal="center" vertical="center"/>
    </xf>
    <xf numFmtId="3" fontId="90" fillId="0" borderId="48" xfId="1" applyNumberFormat="1" applyFont="1" applyBorder="1" applyAlignment="1">
      <alignment horizontal="center" vertical="center"/>
    </xf>
    <xf numFmtId="3" fontId="91" fillId="0" borderId="47" xfId="1" quotePrefix="1" applyNumberFormat="1" applyFont="1" applyBorder="1" applyAlignment="1">
      <alignment horizontal="center" vertical="center"/>
    </xf>
    <xf numFmtId="3" fontId="90" fillId="2" borderId="46" xfId="1" applyNumberFormat="1" applyFont="1" applyFill="1" applyBorder="1" applyAlignment="1">
      <alignment horizontal="center" vertical="center"/>
    </xf>
    <xf numFmtId="3" fontId="90" fillId="2" borderId="48" xfId="1" applyNumberFormat="1" applyFont="1" applyFill="1" applyBorder="1" applyAlignment="1">
      <alignment horizontal="center" vertical="center"/>
    </xf>
    <xf numFmtId="3" fontId="90" fillId="2" borderId="44" xfId="1" applyNumberFormat="1" applyFont="1" applyFill="1" applyBorder="1" applyAlignment="1">
      <alignment horizontal="center" vertical="center"/>
    </xf>
    <xf numFmtId="3" fontId="91" fillId="2" borderId="31" xfId="1" quotePrefix="1" applyNumberFormat="1" applyFont="1" applyFill="1" applyBorder="1" applyAlignment="1">
      <alignment horizontal="center" vertical="center"/>
    </xf>
    <xf numFmtId="0" fontId="56" fillId="4" borderId="24" xfId="4" applyFont="1" applyFill="1" applyBorder="1" applyAlignment="1">
      <alignment horizontal="center" vertical="center"/>
    </xf>
    <xf numFmtId="3" fontId="52" fillId="0" borderId="12" xfId="1" applyNumberFormat="1" applyFont="1" applyBorder="1" applyAlignment="1">
      <alignment horizontal="center" vertical="center"/>
    </xf>
    <xf numFmtId="3" fontId="52" fillId="0" borderId="13" xfId="1" applyNumberFormat="1" applyFont="1" applyBorder="1" applyAlignment="1">
      <alignment horizontal="center" vertical="center"/>
    </xf>
    <xf numFmtId="3" fontId="53" fillId="2" borderId="12" xfId="1" applyNumberFormat="1" applyFont="1" applyFill="1" applyBorder="1" applyAlignment="1">
      <alignment horizontal="center" vertical="center"/>
    </xf>
    <xf numFmtId="3" fontId="53" fillId="2" borderId="13" xfId="1" applyNumberFormat="1" applyFont="1" applyFill="1" applyBorder="1" applyAlignment="1">
      <alignment horizontal="center" vertical="center"/>
    </xf>
    <xf numFmtId="3" fontId="85" fillId="0" borderId="12" xfId="1" applyNumberFormat="1" applyFont="1" applyBorder="1" applyAlignment="1">
      <alignment horizontal="center" vertical="center"/>
    </xf>
    <xf numFmtId="3" fontId="85" fillId="0" borderId="13" xfId="1" applyNumberFormat="1" applyFont="1" applyBorder="1" applyAlignment="1">
      <alignment horizontal="center" vertical="center"/>
    </xf>
    <xf numFmtId="3" fontId="86" fillId="0" borderId="12" xfId="1" applyNumberFormat="1" applyFont="1" applyBorder="1" applyAlignment="1">
      <alignment horizontal="center" vertical="center"/>
    </xf>
    <xf numFmtId="3" fontId="86" fillId="0" borderId="13" xfId="1" applyNumberFormat="1" applyFont="1" applyBorder="1" applyAlignment="1">
      <alignment horizontal="center" vertical="center"/>
    </xf>
    <xf numFmtId="0" fontId="88" fillId="4" borderId="37" xfId="0" applyFont="1" applyFill="1" applyBorder="1" applyAlignment="1">
      <alignment horizontal="center" vertical="center"/>
    </xf>
    <xf numFmtId="0" fontId="88" fillId="4" borderId="39" xfId="0" applyFont="1" applyFill="1" applyBorder="1" applyAlignment="1">
      <alignment horizontal="center" vertical="center"/>
    </xf>
    <xf numFmtId="0" fontId="88" fillId="3" borderId="37" xfId="0" applyFont="1" applyFill="1" applyBorder="1" applyAlignment="1">
      <alignment horizontal="center" vertical="center"/>
    </xf>
    <xf numFmtId="0" fontId="88" fillId="3" borderId="39" xfId="0" applyFont="1" applyFill="1" applyBorder="1" applyAlignment="1">
      <alignment horizontal="center" vertical="center"/>
    </xf>
    <xf numFmtId="0" fontId="88" fillId="4" borderId="36" xfId="0" applyFont="1" applyFill="1" applyBorder="1" applyAlignment="1">
      <alignment horizontal="center" vertical="center"/>
    </xf>
    <xf numFmtId="0" fontId="88" fillId="4" borderId="26" xfId="0" applyFont="1" applyFill="1" applyBorder="1" applyAlignment="1">
      <alignment horizontal="center" vertical="center"/>
    </xf>
    <xf numFmtId="0" fontId="88" fillId="4" borderId="38" xfId="0" applyFont="1" applyFill="1" applyBorder="1" applyAlignment="1">
      <alignment horizontal="center" vertical="center"/>
    </xf>
    <xf numFmtId="0" fontId="88" fillId="4" borderId="27" xfId="0" applyFont="1" applyFill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left" vertical="center"/>
    </xf>
    <xf numFmtId="0" fontId="31" fillId="0" borderId="43" xfId="0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58" fillId="4" borderId="24" xfId="1" applyFont="1" applyFill="1" applyBorder="1" applyAlignment="1">
      <alignment horizontal="center" vertical="center"/>
    </xf>
    <xf numFmtId="0" fontId="58" fillId="4" borderId="28" xfId="1" applyFont="1" applyFill="1" applyBorder="1" applyAlignment="1">
      <alignment horizontal="center" vertical="center"/>
    </xf>
    <xf numFmtId="0" fontId="58" fillId="4" borderId="25" xfId="1" applyFont="1" applyFill="1" applyBorder="1" applyAlignment="1">
      <alignment horizontal="center" vertical="center"/>
    </xf>
    <xf numFmtId="0" fontId="31" fillId="0" borderId="31" xfId="0" applyFont="1" applyBorder="1" applyAlignment="1">
      <alignment horizontal="left" vertical="center"/>
    </xf>
    <xf numFmtId="0" fontId="31" fillId="0" borderId="41" xfId="0" applyFont="1" applyBorder="1" applyAlignment="1">
      <alignment horizontal="left" vertical="center"/>
    </xf>
    <xf numFmtId="0" fontId="24" fillId="0" borderId="31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49" fillId="0" borderId="24" xfId="0" applyFont="1" applyBorder="1" applyAlignment="1">
      <alignment horizontal="center" vertical="center"/>
    </xf>
    <xf numFmtId="0" fontId="49" fillId="0" borderId="25" xfId="0" applyFont="1" applyBorder="1" applyAlignment="1">
      <alignment horizontal="center" vertical="center"/>
    </xf>
    <xf numFmtId="0" fontId="31" fillId="0" borderId="44" xfId="0" applyFont="1" applyBorder="1" applyAlignment="1">
      <alignment horizontal="left" vertical="center"/>
    </xf>
    <xf numFmtId="0" fontId="31" fillId="0" borderId="45" xfId="0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0" fontId="54" fillId="2" borderId="12" xfId="1" applyFont="1" applyFill="1" applyBorder="1" applyAlignment="1">
      <alignment horizontal="center" vertical="center"/>
    </xf>
    <xf numFmtId="0" fontId="54" fillId="2" borderId="13" xfId="1" applyFont="1" applyFill="1" applyBorder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35" fillId="2" borderId="16" xfId="0" applyFont="1" applyFill="1" applyBorder="1" applyAlignment="1">
      <alignment horizontal="left" vertical="center"/>
    </xf>
    <xf numFmtId="0" fontId="81" fillId="7" borderId="24" xfId="1" applyFont="1" applyFill="1" applyBorder="1" applyAlignment="1">
      <alignment horizontal="center" vertical="center"/>
    </xf>
    <xf numFmtId="0" fontId="81" fillId="7" borderId="25" xfId="1" applyFont="1" applyFill="1" applyBorder="1" applyAlignment="1">
      <alignment horizontal="center" vertical="center"/>
    </xf>
    <xf numFmtId="0" fontId="81" fillId="6" borderId="24" xfId="1" applyFont="1" applyFill="1" applyBorder="1" applyAlignment="1">
      <alignment horizontal="center" vertical="center"/>
    </xf>
    <xf numFmtId="0" fontId="81" fillId="6" borderId="25" xfId="1" applyFont="1" applyFill="1" applyBorder="1" applyAlignment="1">
      <alignment horizontal="center" vertical="center"/>
    </xf>
    <xf numFmtId="0" fontId="64" fillId="5" borderId="24" xfId="1" applyFont="1" applyFill="1" applyBorder="1" applyAlignment="1">
      <alignment horizontal="center" vertical="center"/>
    </xf>
    <xf numFmtId="0" fontId="64" fillId="5" borderId="28" xfId="1" applyFont="1" applyFill="1" applyBorder="1" applyAlignment="1">
      <alignment horizontal="center" vertical="center"/>
    </xf>
    <xf numFmtId="0" fontId="64" fillId="5" borderId="25" xfId="1" applyFont="1" applyFill="1" applyBorder="1" applyAlignment="1">
      <alignment horizontal="center" vertical="center"/>
    </xf>
    <xf numFmtId="0" fontId="81" fillId="5" borderId="24" xfId="1" applyFont="1" applyFill="1" applyBorder="1" applyAlignment="1">
      <alignment horizontal="center" vertical="center"/>
    </xf>
    <xf numFmtId="0" fontId="81" fillId="5" borderId="28" xfId="1" applyFont="1" applyFill="1" applyBorder="1" applyAlignment="1">
      <alignment horizontal="center" vertical="center"/>
    </xf>
    <xf numFmtId="0" fontId="81" fillId="5" borderId="25" xfId="1" applyFont="1" applyFill="1" applyBorder="1" applyAlignment="1">
      <alignment horizontal="center" vertical="center"/>
    </xf>
    <xf numFmtId="0" fontId="80" fillId="0" borderId="0" xfId="1" applyFont="1" applyAlignment="1">
      <alignment horizontal="center"/>
    </xf>
    <xf numFmtId="0" fontId="81" fillId="8" borderId="24" xfId="1" applyFont="1" applyFill="1" applyBorder="1" applyAlignment="1">
      <alignment horizontal="center" vertical="center"/>
    </xf>
    <xf numFmtId="0" fontId="81" fillId="8" borderId="28" xfId="1" applyFont="1" applyFill="1" applyBorder="1" applyAlignment="1">
      <alignment horizontal="center" vertical="center"/>
    </xf>
    <xf numFmtId="0" fontId="81" fillId="8" borderId="25" xfId="1" applyFont="1" applyFill="1" applyBorder="1" applyAlignment="1">
      <alignment horizontal="center" vertical="center"/>
    </xf>
    <xf numFmtId="0" fontId="64" fillId="8" borderId="24" xfId="1" applyFont="1" applyFill="1" applyBorder="1" applyAlignment="1">
      <alignment horizontal="center" vertical="center"/>
    </xf>
    <xf numFmtId="0" fontId="64" fillId="8" borderId="28" xfId="1" applyFont="1" applyFill="1" applyBorder="1" applyAlignment="1">
      <alignment horizontal="center" vertical="center"/>
    </xf>
    <xf numFmtId="0" fontId="64" fillId="8" borderId="25" xfId="1" applyFont="1" applyFill="1" applyBorder="1" applyAlignment="1">
      <alignment horizontal="center" vertical="center"/>
    </xf>
    <xf numFmtId="0" fontId="81" fillId="9" borderId="24" xfId="1" applyFont="1" applyFill="1" applyBorder="1" applyAlignment="1">
      <alignment horizontal="center" vertical="center"/>
    </xf>
    <xf numFmtId="0" fontId="81" fillId="9" borderId="25" xfId="1" applyFont="1" applyFill="1" applyBorder="1" applyAlignment="1">
      <alignment horizontal="center" vertical="center"/>
    </xf>
    <xf numFmtId="0" fontId="64" fillId="6" borderId="24" xfId="1" applyFont="1" applyFill="1" applyBorder="1" applyAlignment="1">
      <alignment horizontal="center" vertical="center"/>
    </xf>
    <xf numFmtId="0" fontId="64" fillId="6" borderId="25" xfId="1" applyFont="1" applyFill="1" applyBorder="1" applyAlignment="1">
      <alignment horizontal="center" vertical="center"/>
    </xf>
    <xf numFmtId="0" fontId="41" fillId="10" borderId="18" xfId="1" applyFont="1" applyFill="1" applyBorder="1" applyAlignment="1">
      <alignment horizontal="center" vertical="center" wrapText="1"/>
    </xf>
    <xf numFmtId="0" fontId="41" fillId="10" borderId="17" xfId="1" applyFont="1" applyFill="1" applyBorder="1" applyAlignment="1">
      <alignment horizontal="center" vertical="center" wrapText="1"/>
    </xf>
    <xf numFmtId="0" fontId="41" fillId="10" borderId="15" xfId="1" applyFont="1" applyFill="1" applyBorder="1" applyAlignment="1">
      <alignment horizontal="center" vertical="center" wrapText="1"/>
    </xf>
    <xf numFmtId="0" fontId="41" fillId="10" borderId="19" xfId="1" applyFont="1" applyFill="1" applyBorder="1" applyAlignment="1">
      <alignment horizontal="center" vertical="center" wrapText="1"/>
    </xf>
    <xf numFmtId="0" fontId="65" fillId="10" borderId="12" xfId="1" applyFont="1" applyFill="1" applyBorder="1" applyAlignment="1">
      <alignment horizontal="center" vertical="center" wrapText="1"/>
    </xf>
    <xf numFmtId="0" fontId="65" fillId="10" borderId="14" xfId="1" applyFont="1" applyFill="1" applyBorder="1" applyAlignment="1">
      <alignment horizontal="center" vertical="center" wrapText="1"/>
    </xf>
    <xf numFmtId="0" fontId="65" fillId="10" borderId="13" xfId="1" applyFont="1" applyFill="1" applyBorder="1" applyAlignment="1">
      <alignment horizontal="center" vertical="center" wrapText="1"/>
    </xf>
    <xf numFmtId="0" fontId="60" fillId="10" borderId="18" xfId="1" applyFont="1" applyFill="1" applyBorder="1" applyAlignment="1">
      <alignment horizontal="center" vertical="center"/>
    </xf>
    <xf numFmtId="0" fontId="60" fillId="10" borderId="17" xfId="1" applyFont="1" applyFill="1" applyBorder="1" applyAlignment="1">
      <alignment horizontal="center" vertical="center"/>
    </xf>
    <xf numFmtId="0" fontId="60" fillId="10" borderId="21" xfId="1" applyFont="1" applyFill="1" applyBorder="1" applyAlignment="1">
      <alignment horizontal="center" vertical="center"/>
    </xf>
    <xf numFmtId="0" fontId="60" fillId="10" borderId="20" xfId="1" applyFont="1" applyFill="1" applyBorder="1" applyAlignment="1">
      <alignment horizontal="center" vertical="center"/>
    </xf>
    <xf numFmtId="0" fontId="60" fillId="10" borderId="15" xfId="1" applyFont="1" applyFill="1" applyBorder="1" applyAlignment="1">
      <alignment horizontal="center" vertical="center"/>
    </xf>
    <xf numFmtId="0" fontId="60" fillId="10" borderId="19" xfId="1" applyFont="1" applyFill="1" applyBorder="1" applyAlignment="1">
      <alignment horizontal="center" vertical="center"/>
    </xf>
    <xf numFmtId="0" fontId="29" fillId="10" borderId="12" xfId="1" applyFont="1" applyFill="1" applyBorder="1" applyAlignment="1">
      <alignment horizontal="center" vertical="center" wrapText="1"/>
    </xf>
    <xf numFmtId="0" fontId="29" fillId="10" borderId="14" xfId="1" applyFont="1" applyFill="1" applyBorder="1" applyAlignment="1">
      <alignment horizontal="center" vertical="center" wrapText="1"/>
    </xf>
    <xf numFmtId="0" fontId="29" fillId="10" borderId="13" xfId="1" applyFont="1" applyFill="1" applyBorder="1" applyAlignment="1">
      <alignment horizontal="center" vertical="center" wrapText="1"/>
    </xf>
    <xf numFmtId="0" fontId="64" fillId="9" borderId="24" xfId="1" applyFont="1" applyFill="1" applyBorder="1" applyAlignment="1">
      <alignment horizontal="center" vertical="center"/>
    </xf>
    <xf numFmtId="0" fontId="64" fillId="9" borderId="25" xfId="1" applyFont="1" applyFill="1" applyBorder="1" applyAlignment="1">
      <alignment horizontal="center" vertical="center"/>
    </xf>
    <xf numFmtId="0" fontId="64" fillId="7" borderId="24" xfId="1" applyFont="1" applyFill="1" applyBorder="1" applyAlignment="1">
      <alignment horizontal="center" vertical="center"/>
    </xf>
    <xf numFmtId="0" fontId="64" fillId="7" borderId="25" xfId="1" applyFont="1" applyFill="1" applyBorder="1" applyAlignment="1">
      <alignment horizontal="center" vertical="center"/>
    </xf>
    <xf numFmtId="0" fontId="66" fillId="2" borderId="12" xfId="1" applyFont="1" applyFill="1" applyBorder="1" applyAlignment="1">
      <alignment horizontal="center" vertical="center" wrapText="1"/>
    </xf>
    <xf numFmtId="0" fontId="66" fillId="2" borderId="14" xfId="1" applyFont="1" applyFill="1" applyBorder="1" applyAlignment="1">
      <alignment horizontal="center" vertical="center" wrapText="1"/>
    </xf>
    <xf numFmtId="0" fontId="66" fillId="2" borderId="13" xfId="1" applyFont="1" applyFill="1" applyBorder="1" applyAlignment="1">
      <alignment horizontal="center" vertical="center" wrapText="1"/>
    </xf>
    <xf numFmtId="3" fontId="89" fillId="0" borderId="0" xfId="0" applyNumberFormat="1" applyFont="1" applyAlignment="1">
      <alignment horizontal="center" vertical="center"/>
    </xf>
    <xf numFmtId="3" fontId="89" fillId="0" borderId="49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3" fontId="86" fillId="0" borderId="14" xfId="1" applyNumberFormat="1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54" fillId="0" borderId="12" xfId="1" applyFont="1" applyBorder="1" applyAlignment="1">
      <alignment horizontal="center" vertical="center"/>
    </xf>
    <xf numFmtId="0" fontId="54" fillId="0" borderId="13" xfId="1" applyFont="1" applyBorder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0" borderId="49" xfId="0" applyNumberFormat="1" applyFont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3" fontId="68" fillId="0" borderId="12" xfId="1" applyNumberFormat="1" applyFont="1" applyBorder="1" applyAlignment="1">
      <alignment horizontal="center" vertical="center"/>
    </xf>
    <xf numFmtId="3" fontId="68" fillId="0" borderId="13" xfId="1" applyNumberFormat="1" applyFont="1" applyBorder="1" applyAlignment="1">
      <alignment horizontal="center" vertical="center"/>
    </xf>
    <xf numFmtId="3" fontId="69" fillId="0" borderId="12" xfId="1" applyNumberFormat="1" applyFont="1" applyBorder="1" applyAlignment="1">
      <alignment horizontal="center" vertical="center"/>
    </xf>
    <xf numFmtId="3" fontId="69" fillId="0" borderId="13" xfId="1" applyNumberFormat="1" applyFont="1" applyBorder="1" applyAlignment="1">
      <alignment horizontal="center" vertical="center"/>
    </xf>
    <xf numFmtId="3" fontId="53" fillId="12" borderId="12" xfId="1" applyNumberFormat="1" applyFont="1" applyFill="1" applyBorder="1" applyAlignment="1">
      <alignment horizontal="center" vertical="center"/>
    </xf>
    <xf numFmtId="3" fontId="53" fillId="12" borderId="13" xfId="1" applyNumberFormat="1" applyFont="1" applyFill="1" applyBorder="1" applyAlignment="1">
      <alignment horizontal="center" vertical="center"/>
    </xf>
    <xf numFmtId="3" fontId="69" fillId="0" borderId="14" xfId="1" applyNumberFormat="1" applyFont="1" applyBorder="1" applyAlignment="1">
      <alignment horizontal="center" vertical="center"/>
    </xf>
    <xf numFmtId="0" fontId="75" fillId="0" borderId="12" xfId="1" applyFont="1" applyBorder="1" applyAlignment="1">
      <alignment horizontal="center" vertical="center"/>
    </xf>
    <xf numFmtId="0" fontId="75" fillId="0" borderId="13" xfId="1" applyFont="1" applyBorder="1" applyAlignment="1">
      <alignment horizontal="center" vertical="center"/>
    </xf>
    <xf numFmtId="0" fontId="36" fillId="0" borderId="12" xfId="1" applyFont="1" applyBorder="1" applyAlignment="1">
      <alignment horizontal="center" vertical="center"/>
    </xf>
    <xf numFmtId="0" fontId="36" fillId="0" borderId="13" xfId="1" applyFont="1" applyBorder="1" applyAlignment="1">
      <alignment horizontal="center" vertical="center"/>
    </xf>
    <xf numFmtId="0" fontId="74" fillId="2" borderId="12" xfId="1" applyFont="1" applyFill="1" applyBorder="1" applyAlignment="1">
      <alignment horizontal="center" vertical="center"/>
    </xf>
    <xf numFmtId="0" fontId="74" fillId="2" borderId="13" xfId="1" applyFont="1" applyFill="1" applyBorder="1" applyAlignment="1">
      <alignment horizontal="center" vertical="center"/>
    </xf>
    <xf numFmtId="0" fontId="70" fillId="0" borderId="0" xfId="0" applyFont="1" applyAlignment="1">
      <alignment horizontal="left" vertical="top"/>
    </xf>
    <xf numFmtId="0" fontId="70" fillId="0" borderId="16" xfId="0" applyFont="1" applyBorder="1" applyAlignment="1">
      <alignment horizontal="left" vertical="top"/>
    </xf>
    <xf numFmtId="0" fontId="23" fillId="10" borderId="18" xfId="1" applyFont="1" applyFill="1" applyBorder="1" applyAlignment="1">
      <alignment horizontal="center"/>
    </xf>
    <xf numFmtId="0" fontId="23" fillId="10" borderId="22" xfId="1" applyFont="1" applyFill="1" applyBorder="1" applyAlignment="1">
      <alignment horizontal="center"/>
    </xf>
    <xf numFmtId="0" fontId="23" fillId="10" borderId="17" xfId="1" applyFont="1" applyFill="1" applyBorder="1" applyAlignment="1">
      <alignment horizontal="center"/>
    </xf>
    <xf numFmtId="0" fontId="23" fillId="10" borderId="15" xfId="1" applyFont="1" applyFill="1" applyBorder="1" applyAlignment="1">
      <alignment horizontal="center"/>
    </xf>
    <xf numFmtId="0" fontId="23" fillId="10" borderId="16" xfId="1" applyFont="1" applyFill="1" applyBorder="1" applyAlignment="1">
      <alignment horizontal="center"/>
    </xf>
    <xf numFmtId="0" fontId="23" fillId="10" borderId="19" xfId="1" applyFont="1" applyFill="1" applyBorder="1" applyAlignment="1">
      <alignment horizontal="center"/>
    </xf>
    <xf numFmtId="0" fontId="35" fillId="4" borderId="37" xfId="0" applyFont="1" applyFill="1" applyBorder="1" applyAlignment="1">
      <alignment horizontal="center" vertical="center"/>
    </xf>
    <xf numFmtId="0" fontId="35" fillId="4" borderId="39" xfId="0" applyFont="1" applyFill="1" applyBorder="1" applyAlignment="1">
      <alignment horizontal="center" vertical="center"/>
    </xf>
    <xf numFmtId="0" fontId="35" fillId="3" borderId="37" xfId="0" applyFont="1" applyFill="1" applyBorder="1" applyAlignment="1">
      <alignment horizontal="center" vertical="center"/>
    </xf>
    <xf numFmtId="0" fontId="35" fillId="3" borderId="39" xfId="0" applyFont="1" applyFill="1" applyBorder="1" applyAlignment="1">
      <alignment horizontal="center" vertical="center"/>
    </xf>
    <xf numFmtId="0" fontId="35" fillId="4" borderId="38" xfId="0" applyFont="1" applyFill="1" applyBorder="1" applyAlignment="1">
      <alignment horizontal="center" vertical="center"/>
    </xf>
    <xf numFmtId="0" fontId="35" fillId="4" borderId="27" xfId="0" applyFont="1" applyFill="1" applyBorder="1" applyAlignment="1">
      <alignment horizontal="center" vertical="center"/>
    </xf>
    <xf numFmtId="0" fontId="35" fillId="4" borderId="36" xfId="0" applyFont="1" applyFill="1" applyBorder="1" applyAlignment="1">
      <alignment horizontal="center" vertical="center"/>
    </xf>
    <xf numFmtId="0" fontId="35" fillId="4" borderId="26" xfId="0" applyFont="1" applyFill="1" applyBorder="1" applyAlignment="1">
      <alignment horizontal="center" vertical="center"/>
    </xf>
    <xf numFmtId="0" fontId="72" fillId="0" borderId="12" xfId="1" applyFont="1" applyBorder="1" applyAlignment="1">
      <alignment horizontal="center" vertical="center"/>
    </xf>
    <xf numFmtId="0" fontId="72" fillId="0" borderId="13" xfId="1" applyFont="1" applyBorder="1" applyAlignment="1">
      <alignment horizontal="center" vertical="center"/>
    </xf>
    <xf numFmtId="0" fontId="73" fillId="0" borderId="12" xfId="1" applyFont="1" applyBorder="1" applyAlignment="1">
      <alignment horizontal="center" vertical="center"/>
    </xf>
    <xf numFmtId="0" fontId="73" fillId="0" borderId="13" xfId="1" applyFont="1" applyBorder="1" applyAlignment="1">
      <alignment horizontal="center" vertical="center"/>
    </xf>
    <xf numFmtId="0" fontId="72" fillId="2" borderId="12" xfId="1" applyFont="1" applyFill="1" applyBorder="1" applyAlignment="1">
      <alignment horizontal="center" vertical="center"/>
    </xf>
    <xf numFmtId="0" fontId="72" fillId="2" borderId="13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4" fillId="11" borderId="12" xfId="0" applyFont="1" applyFill="1" applyBorder="1" applyAlignment="1">
      <alignment horizontal="center" vertical="center"/>
    </xf>
    <xf numFmtId="0" fontId="44" fillId="11" borderId="14" xfId="0" applyFont="1" applyFill="1" applyBorder="1" applyAlignment="1">
      <alignment horizontal="center" vertical="center"/>
    </xf>
    <xf numFmtId="0" fontId="44" fillId="11" borderId="13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4" xr:uid="{00000000-0005-0000-0000-000002000000}"/>
    <cellStyle name="Normal 2 3" xfId="3" xr:uid="{00000000-0005-0000-0000-000003000000}"/>
    <cellStyle name="Normal 3 3" xfId="5" xr:uid="{00000000-0005-0000-0000-000004000000}"/>
    <cellStyle name="Normal 4 2" xfId="2" xr:uid="{00000000-0005-0000-0000-000005000000}"/>
  </cellStyles>
  <dxfs count="0"/>
  <tableStyles count="0" defaultTableStyle="TableStyleMedium2" defaultPivotStyle="PivotStyleLight16"/>
  <colors>
    <mruColors>
      <color rgb="FFFFCCCC"/>
      <color rgb="FF0000FF"/>
      <color rgb="FFFEF7F4"/>
      <color rgb="FF003399"/>
      <color rgb="FF170C40"/>
      <color rgb="FFE9F2FB"/>
      <color rgb="FFFF9933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/Downloads/&#3629;&#3633;&#3614;&#3604;&#3607;&#3610;&#3634;&#3591;&#3610;&#3633;&#3623;&#3607;&#3629;&#3591;.xlsx" TargetMode="External"/><Relationship Id="rId1" Type="http://schemas.openxmlformats.org/officeDocument/2006/relationships/externalLinkPath" Target="/Users/user/Downloads/&#3629;&#3633;&#3614;&#3604;&#3607;&#3610;&#3634;&#3591;&#3610;&#3633;&#3623;&#3607;&#3629;&#359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บางบัวทอง-ผลิต"/>
      <sheetName val="บางบัวทอง-รถ"/>
      <sheetName val="คันที่ 1"/>
      <sheetName val="คันที่ 2"/>
    </sheetNames>
    <sheetDataSet>
      <sheetData sheetId="0" refreshError="1">
        <row r="12">
          <cell r="C12" t="str">
            <v>องุ่นดำไร้เมล็ด 150 กรัม x36P</v>
          </cell>
        </row>
        <row r="14">
          <cell r="C14" t="str">
            <v>องุ่นแดงนอกมีเมล็ด 200 กรัม x 32 P</v>
          </cell>
        </row>
      </sheetData>
      <sheetData sheetId="1" refreshError="1"/>
      <sheetData sheetId="2" refreshError="1"/>
      <sheetData sheetId="3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K57"/>
  <sheetViews>
    <sheetView tabSelected="1" topLeftCell="D45" zoomScale="30" zoomScaleNormal="30" zoomScaleSheetLayoutView="20" workbookViewId="0">
      <selection activeCell="K51" sqref="E51:P51"/>
    </sheetView>
  </sheetViews>
  <sheetFormatPr defaultColWidth="5.77734375" defaultRowHeight="15" customHeight="1"/>
  <cols>
    <col min="1" max="1" width="5.77734375" style="3" customWidth="1"/>
    <col min="2" max="2" width="18" style="3" customWidth="1"/>
    <col min="3" max="3" width="134.21875" style="3" customWidth="1"/>
    <col min="4" max="4" width="23.21875" style="3" customWidth="1"/>
    <col min="5" max="5" width="30.33203125" style="3" customWidth="1"/>
    <col min="6" max="10" width="35.109375" style="3" customWidth="1"/>
    <col min="11" max="11" width="28.6640625" style="3" customWidth="1"/>
    <col min="12" max="15" width="35.109375" style="3" customWidth="1"/>
    <col min="16" max="16" width="29.77734375" style="3" customWidth="1"/>
    <col min="17" max="17" width="34.21875" style="3" customWidth="1"/>
    <col min="18" max="18" width="34.21875" style="31" customWidth="1"/>
    <col min="19" max="19" width="26" style="3" customWidth="1"/>
    <col min="20" max="20" width="25.21875" style="103" customWidth="1"/>
    <col min="21" max="21" width="8.33203125" style="52" customWidth="1"/>
    <col min="22" max="22" width="27.88671875" style="177" customWidth="1"/>
    <col min="23" max="23" width="24.88671875" style="177" customWidth="1"/>
    <col min="24" max="24" width="27.88671875" style="177" customWidth="1"/>
    <col min="25" max="25" width="22" style="177" customWidth="1"/>
    <col min="26" max="26" width="27.88671875" style="177" customWidth="1"/>
    <col min="27" max="36" width="5.77734375" style="3"/>
    <col min="37" max="37" width="13.77734375" style="3" bestFit="1" customWidth="1"/>
    <col min="38" max="16384" width="5.77734375" style="3"/>
  </cols>
  <sheetData>
    <row r="4" spans="2:37" ht="31.95" customHeight="1">
      <c r="B4" s="27"/>
      <c r="C4" s="26"/>
      <c r="D4" s="26"/>
      <c r="E4" s="26"/>
      <c r="F4" s="26"/>
      <c r="G4" s="26"/>
      <c r="H4" s="26"/>
      <c r="I4" s="28"/>
      <c r="J4" s="28"/>
      <c r="K4" s="38"/>
      <c r="L4" s="238"/>
      <c r="M4" s="238"/>
      <c r="N4" s="42"/>
      <c r="O4" s="42"/>
      <c r="P4" s="42"/>
      <c r="Q4" s="33"/>
    </row>
    <row r="5" spans="2:37" ht="15" customHeight="1">
      <c r="K5" s="38"/>
      <c r="L5" s="38"/>
      <c r="M5" s="38"/>
    </row>
    <row r="6" spans="2:37" ht="15" customHeight="1">
      <c r="E6" s="31"/>
      <c r="F6" s="31"/>
      <c r="G6" s="31"/>
      <c r="H6" s="31"/>
      <c r="I6" s="31"/>
      <c r="J6" s="31"/>
      <c r="K6" s="164"/>
      <c r="L6" s="164"/>
      <c r="M6" s="164"/>
      <c r="N6" s="31"/>
      <c r="O6" s="31"/>
    </row>
    <row r="7" spans="2:37" ht="15" customHeight="1">
      <c r="E7" s="31"/>
      <c r="F7" s="31"/>
      <c r="G7" s="31"/>
      <c r="H7" s="31"/>
      <c r="I7" s="31"/>
      <c r="J7" s="31"/>
      <c r="K7" s="164"/>
      <c r="L7" s="164"/>
      <c r="M7" s="164"/>
      <c r="N7" s="31"/>
      <c r="O7" s="31"/>
    </row>
    <row r="8" spans="2:37" ht="15" customHeight="1"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</row>
    <row r="9" spans="2:37" ht="15" customHeight="1">
      <c r="E9" s="268" t="s">
        <v>148</v>
      </c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</row>
    <row r="10" spans="2:37" ht="71.400000000000006" customHeight="1" thickBot="1">
      <c r="B10" s="256" t="s">
        <v>147</v>
      </c>
      <c r="C10" s="256"/>
      <c r="D10" s="256"/>
      <c r="E10" s="268"/>
      <c r="F10" s="268"/>
      <c r="G10" s="268"/>
      <c r="H10" s="268"/>
      <c r="I10" s="268"/>
      <c r="J10" s="268"/>
      <c r="K10" s="268"/>
      <c r="L10" s="268"/>
      <c r="M10" s="268"/>
      <c r="N10" s="268"/>
      <c r="O10" s="268"/>
      <c r="P10" s="268"/>
      <c r="Q10" s="168"/>
      <c r="R10" s="168"/>
      <c r="U10" s="3"/>
      <c r="AA10" s="30"/>
    </row>
    <row r="11" spans="2:37" ht="3" hidden="1" customHeight="1" thickBot="1">
      <c r="B11" s="257"/>
      <c r="C11" s="257"/>
      <c r="D11" s="257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5"/>
      <c r="T11" s="104"/>
      <c r="U11" s="29"/>
      <c r="W11" s="231"/>
      <c r="X11" s="232"/>
      <c r="Y11" s="232"/>
      <c r="Z11" s="232"/>
      <c r="AA11" s="233"/>
    </row>
    <row r="12" spans="2:37" ht="58.95" customHeight="1" thickBot="1">
      <c r="B12" s="286" t="s">
        <v>90</v>
      </c>
      <c r="C12" s="287"/>
      <c r="D12" s="292" t="s">
        <v>39</v>
      </c>
      <c r="E12" s="295" t="s">
        <v>98</v>
      </c>
      <c r="F12" s="296"/>
      <c r="G12" s="297" t="s">
        <v>99</v>
      </c>
      <c r="H12" s="298"/>
      <c r="I12" s="277" t="s">
        <v>100</v>
      </c>
      <c r="J12" s="278"/>
      <c r="K12" s="262" t="s">
        <v>101</v>
      </c>
      <c r="L12" s="263"/>
      <c r="M12" s="264"/>
      <c r="N12" s="272" t="s">
        <v>102</v>
      </c>
      <c r="O12" s="273"/>
      <c r="P12" s="274"/>
      <c r="Q12" s="279" t="s">
        <v>68</v>
      </c>
      <c r="R12" s="280"/>
      <c r="S12" s="283" t="s">
        <v>78</v>
      </c>
      <c r="T12" s="299" t="s">
        <v>79</v>
      </c>
      <c r="U12" s="3"/>
      <c r="V12" s="227" t="s">
        <v>82</v>
      </c>
      <c r="W12" s="225" t="s">
        <v>83</v>
      </c>
      <c r="X12" s="223" t="s">
        <v>85</v>
      </c>
      <c r="Y12" s="225" t="s">
        <v>84</v>
      </c>
      <c r="Z12" s="229" t="s">
        <v>86</v>
      </c>
    </row>
    <row r="13" spans="2:37" ht="60.6" customHeight="1" thickBot="1">
      <c r="B13" s="288"/>
      <c r="C13" s="289"/>
      <c r="D13" s="293"/>
      <c r="E13" s="275" t="s">
        <v>93</v>
      </c>
      <c r="F13" s="276"/>
      <c r="G13" s="258" t="s">
        <v>94</v>
      </c>
      <c r="H13" s="259"/>
      <c r="I13" s="260" t="s">
        <v>95</v>
      </c>
      <c r="J13" s="261"/>
      <c r="K13" s="265" t="s">
        <v>96</v>
      </c>
      <c r="L13" s="266"/>
      <c r="M13" s="267"/>
      <c r="N13" s="269" t="s">
        <v>97</v>
      </c>
      <c r="O13" s="270"/>
      <c r="P13" s="271"/>
      <c r="Q13" s="281"/>
      <c r="R13" s="282"/>
      <c r="S13" s="284"/>
      <c r="T13" s="300"/>
      <c r="U13" s="3"/>
      <c r="V13" s="228"/>
      <c r="W13" s="226"/>
      <c r="X13" s="224"/>
      <c r="Y13" s="226"/>
      <c r="Z13" s="230"/>
    </row>
    <row r="14" spans="2:37" ht="75" customHeight="1" thickBot="1">
      <c r="B14" s="290"/>
      <c r="C14" s="291"/>
      <c r="D14" s="294"/>
      <c r="E14" s="154" t="s">
        <v>0</v>
      </c>
      <c r="F14" s="155" t="s">
        <v>69</v>
      </c>
      <c r="G14" s="156" t="s">
        <v>0</v>
      </c>
      <c r="H14" s="157" t="s">
        <v>69</v>
      </c>
      <c r="I14" s="158" t="s">
        <v>0</v>
      </c>
      <c r="J14" s="159" t="s">
        <v>69</v>
      </c>
      <c r="K14" s="160" t="s">
        <v>0</v>
      </c>
      <c r="L14" s="161" t="s">
        <v>69</v>
      </c>
      <c r="M14" s="160" t="s">
        <v>25</v>
      </c>
      <c r="N14" s="162" t="s">
        <v>0</v>
      </c>
      <c r="O14" s="162" t="s">
        <v>1</v>
      </c>
      <c r="P14" s="163" t="s">
        <v>25</v>
      </c>
      <c r="Q14" s="166" t="s">
        <v>80</v>
      </c>
      <c r="R14" s="167" t="s">
        <v>70</v>
      </c>
      <c r="S14" s="285"/>
      <c r="T14" s="301"/>
      <c r="U14" s="3"/>
      <c r="V14" s="178"/>
      <c r="W14" s="179"/>
      <c r="X14" s="180"/>
      <c r="Y14" s="179"/>
      <c r="Z14" s="181"/>
      <c r="AK14" s="44">
        <v>32</v>
      </c>
    </row>
    <row r="15" spans="2:37" ht="55.95" customHeight="1" thickBot="1">
      <c r="B15" s="252">
        <v>1</v>
      </c>
      <c r="C15" s="170" t="s">
        <v>103</v>
      </c>
      <c r="D15" s="254">
        <v>36</v>
      </c>
      <c r="E15" s="200"/>
      <c r="F15" s="201"/>
      <c r="G15" s="201"/>
      <c r="H15" s="201"/>
      <c r="I15" s="201"/>
      <c r="J15" s="201"/>
      <c r="K15" s="201"/>
      <c r="L15" s="201"/>
      <c r="M15" s="201"/>
      <c r="N15" s="201"/>
      <c r="O15" s="202"/>
      <c r="P15" s="202"/>
      <c r="Q15" s="219">
        <f>SUM(E15:P15)</f>
        <v>0</v>
      </c>
      <c r="R15" s="221">
        <f>'บางบัวทอง-รถ'!C10</f>
        <v>0</v>
      </c>
      <c r="S15" s="215">
        <v>260</v>
      </c>
      <c r="T15" s="217">
        <f>SUM(S15-Q15)</f>
        <v>260</v>
      </c>
      <c r="U15" s="3"/>
      <c r="V15" s="182">
        <f>SUM(E15,F15)</f>
        <v>0</v>
      </c>
      <c r="W15" s="183">
        <f>SUM(G15,H15)</f>
        <v>0</v>
      </c>
      <c r="X15" s="184">
        <f>SUM(I15,J15)</f>
        <v>0</v>
      </c>
      <c r="Y15" s="183">
        <f>SUM(K15,L15,M15,)</f>
        <v>0</v>
      </c>
      <c r="Z15" s="185">
        <f>SUM(N15,O15,P15)</f>
        <v>0</v>
      </c>
      <c r="AK15" s="45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ht="55.95" customHeight="1" thickBot="1">
      <c r="B16" s="253"/>
      <c r="C16" s="174" t="s">
        <v>106</v>
      </c>
      <c r="D16" s="255"/>
      <c r="E16" s="203" t="str">
        <f t="shared" ref="E16:P16" si="1">IF(E15=0, "", IF(MOD(E15, $D$15) = 0, E15 / $D$15, IF(INT(E15 / $D$15) = 0, MOD(E15, $D$15) &amp; " P", INT(E15 / $D$15) &amp; " + " &amp; MOD(E15, $D$15) &amp; " P")))</f>
        <v/>
      </c>
      <c r="F16" s="203" t="str">
        <f t="shared" si="1"/>
        <v/>
      </c>
      <c r="G16" s="203" t="str">
        <f t="shared" si="1"/>
        <v/>
      </c>
      <c r="H16" s="203" t="str">
        <f t="shared" si="1"/>
        <v/>
      </c>
      <c r="I16" s="203" t="str">
        <f t="shared" si="1"/>
        <v/>
      </c>
      <c r="J16" s="203" t="str">
        <f t="shared" si="1"/>
        <v/>
      </c>
      <c r="K16" s="203" t="str">
        <f t="shared" si="1"/>
        <v/>
      </c>
      <c r="L16" s="203" t="str">
        <f t="shared" si="1"/>
        <v/>
      </c>
      <c r="M16" s="203" t="str">
        <f t="shared" si="1"/>
        <v/>
      </c>
      <c r="N16" s="203" t="str">
        <f t="shared" si="1"/>
        <v/>
      </c>
      <c r="O16" s="203" t="str">
        <f t="shared" si="1"/>
        <v/>
      </c>
      <c r="P16" s="203" t="str">
        <f t="shared" si="1"/>
        <v/>
      </c>
      <c r="Q16" s="220"/>
      <c r="R16" s="222"/>
      <c r="S16" s="216"/>
      <c r="T16" s="218"/>
      <c r="U16" s="3"/>
      <c r="V16" s="186"/>
      <c r="W16" s="187"/>
      <c r="X16" s="188"/>
      <c r="Y16" s="183"/>
      <c r="Z16" s="189"/>
      <c r="AK16" s="49">
        <v>129</v>
      </c>
    </row>
    <row r="17" spans="2:37" ht="55.95" customHeight="1" thickBot="1">
      <c r="B17" s="252">
        <v>2</v>
      </c>
      <c r="C17" s="171" t="s">
        <v>61</v>
      </c>
      <c r="D17" s="252">
        <v>32</v>
      </c>
      <c r="E17" s="200"/>
      <c r="F17" s="201"/>
      <c r="G17" s="201"/>
      <c r="H17" s="201"/>
      <c r="I17" s="204"/>
      <c r="J17" s="204"/>
      <c r="K17" s="204"/>
      <c r="L17" s="201"/>
      <c r="M17" s="201"/>
      <c r="N17" s="201"/>
      <c r="O17" s="202"/>
      <c r="P17" s="202"/>
      <c r="Q17" s="219">
        <f>SUM(E17:P17)</f>
        <v>0</v>
      </c>
      <c r="R17" s="221">
        <f>'บางบัวทอง-รถ'!C11</f>
        <v>0</v>
      </c>
      <c r="S17" s="215">
        <v>650</v>
      </c>
      <c r="T17" s="217">
        <f>SUM(S17-Q17)</f>
        <v>650</v>
      </c>
      <c r="U17" s="3"/>
      <c r="V17" s="182">
        <f>SUM(E17,F17)</f>
        <v>0</v>
      </c>
      <c r="W17" s="187">
        <f>SUM(G17,H17)</f>
        <v>0</v>
      </c>
      <c r="X17" s="188">
        <f>SUM(I17,J17)</f>
        <v>0</v>
      </c>
      <c r="Y17" s="183">
        <f>SUM(K17,L17,M17,)</f>
        <v>0</v>
      </c>
      <c r="Z17" s="185">
        <f>SUM(N17,O17,P17)</f>
        <v>0</v>
      </c>
      <c r="AK17" s="50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ht="55.95" customHeight="1" thickBot="1">
      <c r="B18" s="253"/>
      <c r="C18" s="175" t="s">
        <v>110</v>
      </c>
      <c r="D18" s="253"/>
      <c r="E18" s="203" t="str">
        <f>IF(E17=0, "", IF(MOD(E17, $D$17) = 0, E17 / $D$17, IF(INT(E17 / $D$17) = 0, MOD(E17, $D$17) &amp; " P", INT(E17 / $D$17) &amp; " + " &amp; MOD(E17, $D$17) &amp; " P")))</f>
        <v/>
      </c>
      <c r="F18" s="203" t="str">
        <f t="shared" ref="F18:P18" si="3">IF(F17=0, "", IF(MOD(F17, $D$17) = 0, F17 / $D$17, IF(INT(F17 / $D$17) = 0, MOD(F17, $D$17) &amp; " P", INT(F17 / $D$17) &amp; " + " &amp; MOD(F17, $D$17) &amp; " P")))</f>
        <v/>
      </c>
      <c r="G18" s="203" t="str">
        <f t="shared" si="3"/>
        <v/>
      </c>
      <c r="H18" s="203" t="str">
        <f t="shared" si="3"/>
        <v/>
      </c>
      <c r="I18" s="203" t="str">
        <f t="shared" si="3"/>
        <v/>
      </c>
      <c r="J18" s="203" t="str">
        <f t="shared" si="3"/>
        <v/>
      </c>
      <c r="K18" s="203" t="str">
        <f t="shared" si="3"/>
        <v/>
      </c>
      <c r="L18" s="203" t="str">
        <f t="shared" si="3"/>
        <v/>
      </c>
      <c r="M18" s="203" t="str">
        <f t="shared" si="3"/>
        <v/>
      </c>
      <c r="N18" s="203" t="str">
        <f t="shared" si="3"/>
        <v/>
      </c>
      <c r="O18" s="203" t="str">
        <f t="shared" si="3"/>
        <v/>
      </c>
      <c r="P18" s="203" t="str">
        <f t="shared" si="3"/>
        <v/>
      </c>
      <c r="Q18" s="220"/>
      <c r="R18" s="222"/>
      <c r="S18" s="216"/>
      <c r="T18" s="218"/>
      <c r="U18" s="3"/>
      <c r="V18" s="186"/>
      <c r="W18" s="187"/>
      <c r="X18" s="188"/>
      <c r="Y18" s="183"/>
      <c r="Z18" s="189"/>
      <c r="AK18" s="51">
        <v>54</v>
      </c>
    </row>
    <row r="19" spans="2:37" ht="55.95" customHeight="1" thickBot="1">
      <c r="B19" s="252">
        <v>3</v>
      </c>
      <c r="C19" s="171" t="s">
        <v>127</v>
      </c>
      <c r="D19" s="252">
        <v>36</v>
      </c>
      <c r="E19" s="205"/>
      <c r="F19" s="206"/>
      <c r="G19" s="206"/>
      <c r="H19" s="206"/>
      <c r="I19" s="207"/>
      <c r="J19" s="207"/>
      <c r="K19" s="207"/>
      <c r="L19" s="206"/>
      <c r="M19" s="206"/>
      <c r="N19" s="206"/>
      <c r="O19" s="208"/>
      <c r="P19" s="208"/>
      <c r="Q19" s="219">
        <f>SUM(E19:P19)</f>
        <v>0</v>
      </c>
      <c r="R19" s="221">
        <f>'บางบัวทอง-รถ'!C12</f>
        <v>0</v>
      </c>
      <c r="S19" s="215">
        <v>260</v>
      </c>
      <c r="T19" s="217">
        <f>SUM(S19-Q19)</f>
        <v>260</v>
      </c>
      <c r="U19" s="3"/>
      <c r="V19" s="186">
        <f>SUM(E19,F19)</f>
        <v>0</v>
      </c>
      <c r="W19" s="187">
        <f>SUM(G19,H19)</f>
        <v>0</v>
      </c>
      <c r="X19" s="188">
        <f>SUM(I19,J19)</f>
        <v>0</v>
      </c>
      <c r="Y19" s="183">
        <f>SUM(K19,L19,M19,)</f>
        <v>0</v>
      </c>
      <c r="Z19" s="185">
        <f>SUM(N19,O19,P19)</f>
        <v>0</v>
      </c>
      <c r="AK19" s="50" t="str">
        <f t="shared" ref="AK19" si="4">IF(AK18=0, "", IF(MOD(AK18, $D$19) = 0, AK18/ $D$19, IF(INT(AK18 / $D$19) = 0, MOD(AK18, $D$19) &amp; " P", INT(AK18 / $D$19) &amp; " + " &amp; MOD(AK18, $D$19) &amp; " P")))</f>
        <v>1 + 18 P</v>
      </c>
    </row>
    <row r="20" spans="2:37" ht="55.95" customHeight="1" thickBot="1">
      <c r="B20" s="253"/>
      <c r="C20" s="176" t="s">
        <v>128</v>
      </c>
      <c r="D20" s="253"/>
      <c r="E20" s="203" t="str">
        <f>IF(E19=0, "", IF(MOD(E19, $D$19) = 0, E19 / $D$19, IF(INT(E19 / $D$19) = 0, MOD(E19, $D$19) &amp; " P", INT(E19 / $D$19) &amp; " + " &amp; MOD(E19, $D$19) &amp; " P")))</f>
        <v/>
      </c>
      <c r="F20" s="203" t="str">
        <f t="shared" ref="F20:P20" si="5">IF(F19=0, "", IF(MOD(F19, $D$19) = 0, F19 / $D$19, IF(INT(F19 / $D$19) = 0, MOD(F19, $D$19) &amp; " P", INT(F19 / $D$19) &amp; " + " &amp; MOD(F19, $D$19) &amp; " P")))</f>
        <v/>
      </c>
      <c r="G20" s="203" t="str">
        <f t="shared" si="5"/>
        <v/>
      </c>
      <c r="H20" s="203" t="str">
        <f t="shared" si="5"/>
        <v/>
      </c>
      <c r="I20" s="203" t="str">
        <f t="shared" si="5"/>
        <v/>
      </c>
      <c r="J20" s="203" t="str">
        <f t="shared" si="5"/>
        <v/>
      </c>
      <c r="K20" s="203" t="str">
        <f t="shared" si="5"/>
        <v/>
      </c>
      <c r="L20" s="203" t="str">
        <f t="shared" si="5"/>
        <v/>
      </c>
      <c r="M20" s="203" t="str">
        <f t="shared" si="5"/>
        <v/>
      </c>
      <c r="N20" s="203" t="str">
        <f t="shared" si="5"/>
        <v/>
      </c>
      <c r="O20" s="203" t="str">
        <f t="shared" si="5"/>
        <v/>
      </c>
      <c r="P20" s="203" t="str">
        <f t="shared" si="5"/>
        <v/>
      </c>
      <c r="Q20" s="220"/>
      <c r="R20" s="222"/>
      <c r="S20" s="216"/>
      <c r="T20" s="218"/>
      <c r="U20" s="3"/>
      <c r="V20" s="186"/>
      <c r="W20" s="187"/>
      <c r="X20" s="188"/>
      <c r="Y20" s="183"/>
      <c r="Z20" s="189"/>
      <c r="AK20" s="49">
        <v>12</v>
      </c>
    </row>
    <row r="21" spans="2:37" ht="55.95" customHeight="1" thickBot="1">
      <c r="B21" s="252">
        <v>4</v>
      </c>
      <c r="C21" s="171" t="s">
        <v>142</v>
      </c>
      <c r="D21" s="252">
        <v>14</v>
      </c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19">
        <f>SUM(E21:P21)</f>
        <v>0</v>
      </c>
      <c r="R21" s="221">
        <f>'บางบัวทอง-รถ'!C13</f>
        <v>0</v>
      </c>
      <c r="S21" s="215">
        <v>220</v>
      </c>
      <c r="T21" s="217">
        <f>SUM(S21-Q21)</f>
        <v>220</v>
      </c>
      <c r="U21" s="3"/>
      <c r="V21" s="186">
        <f>SUM(E21,F21)</f>
        <v>0</v>
      </c>
      <c r="W21" s="187">
        <f>SUM(G21,H21)</f>
        <v>0</v>
      </c>
      <c r="X21" s="188">
        <f>SUM(I21,J21)</f>
        <v>0</v>
      </c>
      <c r="Y21" s="183">
        <f>SUM(K21,L21,M21,)</f>
        <v>0</v>
      </c>
      <c r="Z21" s="185">
        <f>SUM(N21,O21,P21)</f>
        <v>0</v>
      </c>
      <c r="AK21" s="50" t="str">
        <f t="shared" ref="AK21" si="6">IF(AK20=0, "", IF(MOD(AK20, $D$21) = 0, AK20/ $D$21, IF(INT(AK20 / $D$21) = 0, MOD(AK20, $D$21) &amp; " P", INT(AK20 / $D$21) &amp; " + " &amp; MOD(AK20, $D$21) &amp; " P")))</f>
        <v>12 P</v>
      </c>
    </row>
    <row r="22" spans="2:37" ht="55.95" customHeight="1" thickBot="1">
      <c r="B22" s="253"/>
      <c r="C22" s="175" t="s">
        <v>144</v>
      </c>
      <c r="D22" s="253"/>
      <c r="E22" s="203" t="str">
        <f t="shared" ref="E22:P22" si="7">IF(E21=0, "", IF(MOD(E21, $D$21) = 0, E21/ $D$21, IF(INT(E21 / $D$21) = 0, MOD(E21, $D$21) &amp; " P", INT(E21 / $D$21) &amp; " + " &amp; MOD(E21, $D$21) &amp; " P")))</f>
        <v/>
      </c>
      <c r="F22" s="203" t="str">
        <f t="shared" si="7"/>
        <v/>
      </c>
      <c r="G22" s="203" t="str">
        <f t="shared" si="7"/>
        <v/>
      </c>
      <c r="H22" s="203" t="str">
        <f t="shared" si="7"/>
        <v/>
      </c>
      <c r="I22" s="203" t="str">
        <f t="shared" si="7"/>
        <v/>
      </c>
      <c r="J22" s="203" t="str">
        <f t="shared" si="7"/>
        <v/>
      </c>
      <c r="K22" s="203" t="str">
        <f t="shared" si="7"/>
        <v/>
      </c>
      <c r="L22" s="203" t="str">
        <f t="shared" si="7"/>
        <v/>
      </c>
      <c r="M22" s="203" t="str">
        <f t="shared" si="7"/>
        <v/>
      </c>
      <c r="N22" s="203" t="str">
        <f t="shared" si="7"/>
        <v/>
      </c>
      <c r="O22" s="203" t="str">
        <f t="shared" si="7"/>
        <v/>
      </c>
      <c r="P22" s="203" t="str">
        <f t="shared" si="7"/>
        <v/>
      </c>
      <c r="Q22" s="220"/>
      <c r="R22" s="222"/>
      <c r="S22" s="216"/>
      <c r="T22" s="218"/>
      <c r="U22" s="3"/>
      <c r="V22" s="186"/>
      <c r="W22" s="187"/>
      <c r="X22" s="188"/>
      <c r="Y22" s="183"/>
      <c r="Z22" s="189"/>
      <c r="AK22" s="47">
        <v>227</v>
      </c>
    </row>
    <row r="23" spans="2:37" ht="55.95" customHeight="1" thickBot="1">
      <c r="B23" s="148">
        <v>5</v>
      </c>
      <c r="C23" s="171" t="s">
        <v>141</v>
      </c>
      <c r="D23" s="252">
        <v>14</v>
      </c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19">
        <f>SUM(E23:P23)</f>
        <v>0</v>
      </c>
      <c r="R23" s="221">
        <f>'บางบัวทอง-รถ'!C14</f>
        <v>0</v>
      </c>
      <c r="S23" s="215">
        <v>230</v>
      </c>
      <c r="T23" s="217">
        <f>SUM(S23-Q23)</f>
        <v>230</v>
      </c>
      <c r="U23" s="3"/>
      <c r="V23" s="186">
        <f>SUM(E23,F23)</f>
        <v>0</v>
      </c>
      <c r="W23" s="187">
        <f>SUM(G23,H23)</f>
        <v>0</v>
      </c>
      <c r="X23" s="188">
        <f>SUM(I23,J23)</f>
        <v>0</v>
      </c>
      <c r="Y23" s="183">
        <f>SUM(K23,L23,M23,)</f>
        <v>0</v>
      </c>
      <c r="Z23" s="185">
        <f>SUM(N23,O23,P23)</f>
        <v>0</v>
      </c>
      <c r="AK23" s="48" t="str">
        <f t="shared" ref="AK23" si="8">IF(AK22=0, "", IF(MOD(AK22, $D$23) = 0, AK22/ $D$23, IF(INT(AK22 / $D$23) = 0, MOD(AK22, $D$23) &amp; " P", INT(AK22 / $D$23) &amp; " + " &amp; MOD(AK22, $D$23) &amp; " P")))</f>
        <v>16 + 3 P</v>
      </c>
    </row>
    <row r="24" spans="2:37" ht="55.95" customHeight="1" thickBot="1">
      <c r="B24" s="149"/>
      <c r="C24" s="175" t="s">
        <v>143</v>
      </c>
      <c r="D24" s="253"/>
      <c r="E24" s="209" t="str">
        <f t="shared" ref="E24:P24" si="9">IF(E23=0, "", IF(MOD(E23, $D$23) = 0, E23/ $D$23, IF(INT(E23 / $D$23) = 0, MOD(E23, $D$23) &amp; " P", INT(E23 / $D$23) &amp; " + " &amp; MOD(E23, $D$23) &amp; " P")))</f>
        <v/>
      </c>
      <c r="F24" s="209" t="str">
        <f t="shared" si="9"/>
        <v/>
      </c>
      <c r="G24" s="209" t="str">
        <f t="shared" si="9"/>
        <v/>
      </c>
      <c r="H24" s="209" t="str">
        <f t="shared" si="9"/>
        <v/>
      </c>
      <c r="I24" s="209" t="str">
        <f t="shared" si="9"/>
        <v/>
      </c>
      <c r="J24" s="209" t="str">
        <f t="shared" si="9"/>
        <v/>
      </c>
      <c r="K24" s="209" t="str">
        <f t="shared" si="9"/>
        <v/>
      </c>
      <c r="L24" s="209" t="str">
        <f t="shared" si="9"/>
        <v/>
      </c>
      <c r="M24" s="209" t="str">
        <f t="shared" si="9"/>
        <v/>
      </c>
      <c r="N24" s="209" t="str">
        <f t="shared" si="9"/>
        <v/>
      </c>
      <c r="O24" s="209" t="str">
        <f t="shared" si="9"/>
        <v/>
      </c>
      <c r="P24" s="209" t="str">
        <f t="shared" si="9"/>
        <v/>
      </c>
      <c r="Q24" s="220"/>
      <c r="R24" s="222"/>
      <c r="S24" s="216"/>
      <c r="T24" s="218"/>
      <c r="U24" s="3"/>
      <c r="V24" s="186"/>
      <c r="W24" s="187"/>
      <c r="X24" s="188"/>
      <c r="Y24" s="183"/>
      <c r="Z24" s="189"/>
      <c r="AK24" s="49">
        <v>25</v>
      </c>
    </row>
    <row r="25" spans="2:37" ht="55.95" customHeight="1" thickBot="1">
      <c r="B25" s="148">
        <v>6</v>
      </c>
      <c r="C25" s="171" t="s">
        <v>62</v>
      </c>
      <c r="D25" s="252">
        <v>32</v>
      </c>
      <c r="E25" s="200"/>
      <c r="F25" s="201"/>
      <c r="G25" s="201"/>
      <c r="H25" s="201"/>
      <c r="I25" s="204"/>
      <c r="J25" s="204"/>
      <c r="K25" s="204"/>
      <c r="L25" s="201"/>
      <c r="M25" s="201"/>
      <c r="N25" s="201"/>
      <c r="O25" s="202"/>
      <c r="P25" s="202"/>
      <c r="Q25" s="219">
        <f>SUM(E25:P25)</f>
        <v>0</v>
      </c>
      <c r="R25" s="221">
        <f>'บางบัวทอง-รถ'!C15</f>
        <v>0</v>
      </c>
      <c r="S25" s="215">
        <v>320</v>
      </c>
      <c r="T25" s="217">
        <f>SUM(S25-Q25)</f>
        <v>320</v>
      </c>
      <c r="U25" s="3"/>
      <c r="V25" s="186">
        <f>SUM(E25,F25)</f>
        <v>0</v>
      </c>
      <c r="W25" s="187">
        <f>SUM(G25,H25)</f>
        <v>0</v>
      </c>
      <c r="X25" s="188">
        <f>SUM(I25,J25)</f>
        <v>0</v>
      </c>
      <c r="Y25" s="183">
        <f>SUM(K25,L25,M25,)</f>
        <v>0</v>
      </c>
      <c r="Z25" s="185">
        <f>SUM(N25,O25,P25)</f>
        <v>0</v>
      </c>
      <c r="AK25" s="50" t="str">
        <f t="shared" ref="AK25" si="10">IF(AK24=0, "", IF(MOD(AK24, $D$25) = 0, AK24/ $D$25, IF(INT(AK24 / $D$25) = 0, MOD(AK24, $D$25) &amp; " P", INT(AK24 / $D$25) &amp; " + " &amp; MOD(AK24, $D$25) &amp; " P")))</f>
        <v>25 P</v>
      </c>
    </row>
    <row r="26" spans="2:37" ht="55.95" customHeight="1" thickBot="1">
      <c r="B26" s="149"/>
      <c r="C26" s="175" t="s">
        <v>111</v>
      </c>
      <c r="D26" s="253"/>
      <c r="E26" s="203" t="str">
        <f t="shared" ref="E26:P26" si="11">IF(E25=0, "", IF(MOD(E25, $D$25) = 0, E25/ $D$25, IF(INT(E25 / $D$25) = 0, MOD(E25, $D$25) &amp; " P", INT(E25 / $D$25) &amp; " + " &amp; MOD(E25, $D$25) &amp; " P")))</f>
        <v/>
      </c>
      <c r="F26" s="203" t="str">
        <f t="shared" si="11"/>
        <v/>
      </c>
      <c r="G26" s="203" t="str">
        <f t="shared" si="11"/>
        <v/>
      </c>
      <c r="H26" s="203" t="str">
        <f t="shared" si="11"/>
        <v/>
      </c>
      <c r="I26" s="203" t="str">
        <f t="shared" si="11"/>
        <v/>
      </c>
      <c r="J26" s="203" t="str">
        <f t="shared" si="11"/>
        <v/>
      </c>
      <c r="K26" s="203" t="str">
        <f t="shared" si="11"/>
        <v/>
      </c>
      <c r="L26" s="203" t="str">
        <f t="shared" si="11"/>
        <v/>
      </c>
      <c r="M26" s="203" t="str">
        <f t="shared" si="11"/>
        <v/>
      </c>
      <c r="N26" s="203" t="str">
        <f t="shared" si="11"/>
        <v/>
      </c>
      <c r="O26" s="203" t="str">
        <f t="shared" si="11"/>
        <v/>
      </c>
      <c r="P26" s="203" t="str">
        <f t="shared" si="11"/>
        <v/>
      </c>
      <c r="Q26" s="220"/>
      <c r="R26" s="222"/>
      <c r="S26" s="216"/>
      <c r="T26" s="218"/>
      <c r="U26" s="3"/>
      <c r="V26" s="186"/>
      <c r="W26" s="187"/>
      <c r="X26" s="188"/>
      <c r="Y26" s="183"/>
      <c r="Z26" s="189"/>
      <c r="AK26" s="49">
        <v>2</v>
      </c>
    </row>
    <row r="27" spans="2:37" ht="55.95" customHeight="1" thickBot="1">
      <c r="B27" s="148">
        <v>7</v>
      </c>
      <c r="C27" s="172" t="s">
        <v>138</v>
      </c>
      <c r="D27" s="252">
        <v>27</v>
      </c>
      <c r="E27" s="200"/>
      <c r="F27" s="201"/>
      <c r="G27" s="201"/>
      <c r="H27" s="201"/>
      <c r="I27" s="204"/>
      <c r="J27" s="204"/>
      <c r="K27" s="204"/>
      <c r="L27" s="201"/>
      <c r="M27" s="201"/>
      <c r="N27" s="201"/>
      <c r="O27" s="202"/>
      <c r="P27" s="202"/>
      <c r="Q27" s="219">
        <f>SUM(E27:P27)</f>
        <v>0</v>
      </c>
      <c r="R27" s="221">
        <f>'บางบัวทอง-รถ'!C16</f>
        <v>0</v>
      </c>
      <c r="S27" s="215">
        <v>280</v>
      </c>
      <c r="T27" s="217">
        <f>SUM(S27-Q27)</f>
        <v>280</v>
      </c>
      <c r="U27" s="3"/>
      <c r="V27" s="182">
        <f>SUM(E27,F27)</f>
        <v>0</v>
      </c>
      <c r="W27" s="187">
        <f>SUM(G27,H27)</f>
        <v>0</v>
      </c>
      <c r="X27" s="188">
        <f>SUM(I27,J27)</f>
        <v>0</v>
      </c>
      <c r="Y27" s="183">
        <f>SUM(K27,L27,M27,)</f>
        <v>0</v>
      </c>
      <c r="Z27" s="185">
        <f>SUM(N27,O27,P27)</f>
        <v>0</v>
      </c>
      <c r="AK27" s="50" t="str">
        <f t="shared" ref="AK27" si="12">IF(AK26=0, "", IF(MOD(AK26, $D$27) = 0, AK26/ $D$27, IF(INT(AK26 / $D$27) = 0, MOD(AK26, $D$27) &amp; " P", INT(AK26 / $D$27) &amp; " + " &amp; MOD(AK26, $D$27) &amp; " P")))</f>
        <v>2 P</v>
      </c>
    </row>
    <row r="28" spans="2:37" ht="55.95" customHeight="1" thickBot="1">
      <c r="B28" s="149"/>
      <c r="C28" s="175" t="s">
        <v>139</v>
      </c>
      <c r="D28" s="253"/>
      <c r="E28" s="203" t="str">
        <f t="shared" ref="E28:P28" si="13">IF(E27=0, "", IF(MOD(E27, $D$27) = 0, E27/ $D$27, IF(INT(E27 / $D$27) = 0, MOD(E27, $D$27) &amp; " P", INT(E27 / $D$27) &amp; " + " &amp; MOD(E27, $D$27) &amp; " P")))</f>
        <v/>
      </c>
      <c r="F28" s="203" t="str">
        <f t="shared" si="13"/>
        <v/>
      </c>
      <c r="G28" s="203" t="str">
        <f t="shared" si="13"/>
        <v/>
      </c>
      <c r="H28" s="203" t="str">
        <f t="shared" si="13"/>
        <v/>
      </c>
      <c r="I28" s="203" t="str">
        <f t="shared" si="13"/>
        <v/>
      </c>
      <c r="J28" s="203" t="str">
        <f t="shared" si="13"/>
        <v/>
      </c>
      <c r="K28" s="203" t="str">
        <f t="shared" si="13"/>
        <v/>
      </c>
      <c r="L28" s="203" t="str">
        <f t="shared" si="13"/>
        <v/>
      </c>
      <c r="M28" s="203" t="str">
        <f t="shared" si="13"/>
        <v/>
      </c>
      <c r="N28" s="203" t="str">
        <f t="shared" si="13"/>
        <v/>
      </c>
      <c r="O28" s="203" t="str">
        <f t="shared" si="13"/>
        <v/>
      </c>
      <c r="P28" s="203" t="str">
        <f t="shared" si="13"/>
        <v/>
      </c>
      <c r="Q28" s="220"/>
      <c r="R28" s="222"/>
      <c r="S28" s="216"/>
      <c r="T28" s="218"/>
      <c r="U28" s="3"/>
      <c r="V28" s="182"/>
      <c r="W28" s="187"/>
      <c r="X28" s="188"/>
      <c r="Y28" s="183"/>
      <c r="Z28" s="189"/>
      <c r="AK28" s="51">
        <v>74</v>
      </c>
    </row>
    <row r="29" spans="2:37" ht="55.95" customHeight="1" thickBot="1">
      <c r="B29" s="148">
        <v>8</v>
      </c>
      <c r="C29" s="173" t="s">
        <v>63</v>
      </c>
      <c r="D29" s="146">
        <v>36</v>
      </c>
      <c r="E29" s="205"/>
      <c r="F29" s="206"/>
      <c r="G29" s="206"/>
      <c r="H29" s="206"/>
      <c r="I29" s="207"/>
      <c r="J29" s="207"/>
      <c r="K29" s="207"/>
      <c r="L29" s="206"/>
      <c r="M29" s="206"/>
      <c r="N29" s="206"/>
      <c r="O29" s="208"/>
      <c r="P29" s="208"/>
      <c r="Q29" s="219">
        <f>SUM(E29:P29)</f>
        <v>0</v>
      </c>
      <c r="R29" s="221">
        <f>'บางบัวทอง-รถ'!C17</f>
        <v>0</v>
      </c>
      <c r="S29" s="215">
        <v>680</v>
      </c>
      <c r="T29" s="217">
        <f>SUM(S29-Q29)</f>
        <v>680</v>
      </c>
      <c r="U29" s="3"/>
      <c r="V29" s="182">
        <f>SUM(E29,F29)</f>
        <v>0</v>
      </c>
      <c r="W29" s="183">
        <f>SUM(G29,H29)</f>
        <v>0</v>
      </c>
      <c r="X29" s="184">
        <f>SUM(I29,J29)</f>
        <v>0</v>
      </c>
      <c r="Y29" s="183">
        <f>SUM(K29,L29,M29,)</f>
        <v>0</v>
      </c>
      <c r="Z29" s="185">
        <f>SUM(N29,O29,P29)</f>
        <v>0</v>
      </c>
      <c r="AK29" s="45" t="str">
        <f>IF(AK28=0, "", IF(MOD(AK28, $D$29) = 0, AK28/ $D$29, IF(INT(AK28 / $D$29) = 0, MOD(AK28, $D$29) &amp; " P", INT(AK28 / $D$29) &amp; " + " &amp; MOD(AK28, $D$29) &amp; " P")))</f>
        <v>2 + 2 P</v>
      </c>
    </row>
    <row r="30" spans="2:37" ht="55.95" customHeight="1" thickBot="1">
      <c r="B30" s="149"/>
      <c r="C30" s="175" t="s">
        <v>113</v>
      </c>
      <c r="D30" s="147"/>
      <c r="E30" s="203" t="str">
        <f t="shared" ref="E30:P30" si="14">IF(E29=0, "", IF(MOD(E29, $D$29) = 0, E29/ $D$29, IF(INT(E29 / $D$29) = 0, MOD(E29, $D$29) &amp; " P", INT(E29 / $D$29) &amp; " + " &amp; MOD(E29, $D$29) &amp; " P")))</f>
        <v/>
      </c>
      <c r="F30" s="203" t="str">
        <f t="shared" si="14"/>
        <v/>
      </c>
      <c r="G30" s="203" t="str">
        <f t="shared" si="14"/>
        <v/>
      </c>
      <c r="H30" s="203" t="str">
        <f t="shared" si="14"/>
        <v/>
      </c>
      <c r="I30" s="203" t="str">
        <f t="shared" si="14"/>
        <v/>
      </c>
      <c r="J30" s="203" t="str">
        <f t="shared" si="14"/>
        <v/>
      </c>
      <c r="K30" s="203" t="str">
        <f t="shared" si="14"/>
        <v/>
      </c>
      <c r="L30" s="203" t="str">
        <f t="shared" si="14"/>
        <v/>
      </c>
      <c r="M30" s="203" t="str">
        <f t="shared" si="14"/>
        <v/>
      </c>
      <c r="N30" s="203" t="str">
        <f t="shared" si="14"/>
        <v/>
      </c>
      <c r="O30" s="203" t="str">
        <f t="shared" si="14"/>
        <v/>
      </c>
      <c r="P30" s="203" t="str">
        <f t="shared" si="14"/>
        <v/>
      </c>
      <c r="Q30" s="220"/>
      <c r="R30" s="222"/>
      <c r="S30" s="216"/>
      <c r="T30" s="218"/>
      <c r="U30" s="3"/>
      <c r="V30" s="182"/>
      <c r="W30" s="187"/>
      <c r="X30" s="188"/>
      <c r="Y30" s="183"/>
      <c r="Z30" s="189"/>
      <c r="AK30" s="46">
        <v>34</v>
      </c>
    </row>
    <row r="31" spans="2:37" ht="55.95" customHeight="1" thickBot="1">
      <c r="B31" s="148">
        <v>9</v>
      </c>
      <c r="C31" s="171" t="s">
        <v>104</v>
      </c>
      <c r="D31" s="146">
        <v>20</v>
      </c>
      <c r="E31" s="205"/>
      <c r="F31" s="206"/>
      <c r="G31" s="206"/>
      <c r="H31" s="206"/>
      <c r="I31" s="206"/>
      <c r="J31" s="206"/>
      <c r="K31" s="206"/>
      <c r="L31" s="206"/>
      <c r="M31" s="206"/>
      <c r="N31" s="206"/>
      <c r="O31" s="208"/>
      <c r="P31" s="208"/>
      <c r="Q31" s="219">
        <f>SUM(E31:P31)</f>
        <v>0</v>
      </c>
      <c r="R31" s="305">
        <f>'บางบัวทอง-รถ'!C18</f>
        <v>0</v>
      </c>
      <c r="S31" s="215">
        <v>160</v>
      </c>
      <c r="T31" s="217">
        <f>SUM(S31-Q31)</f>
        <v>160</v>
      </c>
      <c r="U31" s="3"/>
      <c r="V31" s="182">
        <f>SUM(E31,F31)</f>
        <v>0</v>
      </c>
      <c r="W31" s="183">
        <f>SUM(G31,H31)</f>
        <v>0</v>
      </c>
      <c r="X31" s="184">
        <f>SUM(I31,J31)</f>
        <v>0</v>
      </c>
      <c r="Y31" s="183">
        <f>SUM(K31,L31,M31,)</f>
        <v>0</v>
      </c>
      <c r="Z31" s="185">
        <f>SUM(N31,O31,P31)</f>
        <v>0</v>
      </c>
      <c r="AK31" s="45" t="str">
        <f t="shared" ref="AK31:AK33" si="15">IF(AK30=0, "", IF(MOD(AK30, $D$31) = 0, AK30/ $D$31, IF(INT(AK30 / $D$31) = 0, MOD(AK30, $D$31) &amp; " P", INT(AK30 / $D$31) &amp; " + " &amp; MOD(AK30, $D$31) &amp; " P")))</f>
        <v>1 + 14 P</v>
      </c>
    </row>
    <row r="32" spans="2:37" ht="55.95" customHeight="1" thickBot="1">
      <c r="B32" s="149"/>
      <c r="C32" s="176" t="s">
        <v>107</v>
      </c>
      <c r="D32" s="147"/>
      <c r="E32" s="203" t="str">
        <f>IF(E31=0, "", IF(MOD(E31, $D$31) = 0, E31/ $D$31, IF(INT(E31 / $D$31) = 0, MOD(E31, $D$31) &amp; " P", INT(E31 / $D$31) &amp; " + " &amp; MOD(E31, $D$31) &amp; " P")))</f>
        <v/>
      </c>
      <c r="F32" s="203" t="str">
        <f t="shared" ref="F32:P32" si="16">IF(F31=0, "", IF(MOD(F31, $D$31) = 0, F31/ $D$31, IF(INT(F31 / $D$31) = 0, MOD(F31, $D$31) &amp; " P", INT(F31 / $D$31) &amp; " + " &amp; MOD(F31, $D$31) &amp; " P")))</f>
        <v/>
      </c>
      <c r="G32" s="203" t="str">
        <f t="shared" si="16"/>
        <v/>
      </c>
      <c r="H32" s="203" t="str">
        <f t="shared" si="16"/>
        <v/>
      </c>
      <c r="I32" s="203" t="str">
        <f t="shared" si="16"/>
        <v/>
      </c>
      <c r="J32" s="203" t="str">
        <f t="shared" si="16"/>
        <v/>
      </c>
      <c r="K32" s="203" t="str">
        <f t="shared" si="16"/>
        <v/>
      </c>
      <c r="L32" s="203" t="str">
        <f t="shared" si="16"/>
        <v/>
      </c>
      <c r="M32" s="203" t="str">
        <f t="shared" si="16"/>
        <v/>
      </c>
      <c r="N32" s="203" t="str">
        <f t="shared" si="16"/>
        <v/>
      </c>
      <c r="O32" s="203" t="str">
        <f t="shared" si="16"/>
        <v/>
      </c>
      <c r="P32" s="203" t="str">
        <f t="shared" si="16"/>
        <v/>
      </c>
      <c r="Q32" s="220"/>
      <c r="R32" s="222"/>
      <c r="S32" s="216"/>
      <c r="T32" s="218"/>
      <c r="U32" s="3"/>
      <c r="V32" s="182"/>
      <c r="W32" s="187"/>
      <c r="X32" s="188"/>
      <c r="Y32" s="183"/>
      <c r="Z32" s="189"/>
      <c r="AK32" s="46">
        <v>33</v>
      </c>
    </row>
    <row r="33" spans="2:37" ht="55.95" customHeight="1" thickBot="1">
      <c r="B33" s="148">
        <v>10</v>
      </c>
      <c r="C33" s="173" t="s">
        <v>129</v>
      </c>
      <c r="D33" s="308">
        <v>15</v>
      </c>
      <c r="E33" s="205"/>
      <c r="F33" s="206"/>
      <c r="G33" s="206"/>
      <c r="H33" s="206"/>
      <c r="I33" s="206"/>
      <c r="J33" s="206"/>
      <c r="K33" s="206"/>
      <c r="L33" s="206"/>
      <c r="M33" s="206"/>
      <c r="N33" s="206"/>
      <c r="O33" s="208"/>
      <c r="P33" s="208"/>
      <c r="Q33" s="219">
        <f>SUM(E33:P33)</f>
        <v>0</v>
      </c>
      <c r="R33" s="305">
        <f>'บางบัวทอง-รถ'!C19</f>
        <v>0</v>
      </c>
      <c r="S33" s="215">
        <v>160</v>
      </c>
      <c r="T33" s="217">
        <f>SUM(S33-Q33)</f>
        <v>160</v>
      </c>
      <c r="U33" s="3"/>
      <c r="V33" s="182">
        <f>SUM(E33,F33)</f>
        <v>0</v>
      </c>
      <c r="W33" s="183">
        <f>SUM(G33,H33)</f>
        <v>0</v>
      </c>
      <c r="X33" s="184">
        <f>SUM(I33,J33)</f>
        <v>0</v>
      </c>
      <c r="Y33" s="183">
        <f>SUM(K33,L33,M33,)</f>
        <v>0</v>
      </c>
      <c r="Z33" s="185">
        <f>SUM(N33,O33,P33)</f>
        <v>0</v>
      </c>
      <c r="AK33" s="45" t="str">
        <f t="shared" si="15"/>
        <v>1 + 13 P</v>
      </c>
    </row>
    <row r="34" spans="2:37" ht="55.95" customHeight="1" thickBot="1">
      <c r="B34" s="149"/>
      <c r="C34" s="175" t="s">
        <v>130</v>
      </c>
      <c r="D34" s="309"/>
      <c r="E34" s="203" t="str">
        <f>IF(E33=0, "", IF(MOD(E33, $D$33) = 0, E33/ $D$33, IF(INT(E33 / $D$33) = 0, MOD(E33, $D$33) &amp; " P", INT(E33 / $D$33) &amp; " + " &amp; MOD(E33, $D$33) &amp; " P")))</f>
        <v/>
      </c>
      <c r="F34" s="203" t="str">
        <f t="shared" ref="F34:P34" si="17">IF(F33=0, "", IF(MOD(F33, $D$33) = 0, F33/ $D$33, IF(INT(F33 / $D$33) = 0, MOD(F33, $D$33) &amp; " P", INT(F33 / $D$33) &amp; " + " &amp; MOD(F33, $D$33) &amp; " P")))</f>
        <v/>
      </c>
      <c r="G34" s="203" t="str">
        <f t="shared" si="17"/>
        <v/>
      </c>
      <c r="H34" s="203" t="str">
        <f t="shared" si="17"/>
        <v/>
      </c>
      <c r="I34" s="203" t="str">
        <f t="shared" si="17"/>
        <v/>
      </c>
      <c r="J34" s="203" t="str">
        <f t="shared" si="17"/>
        <v/>
      </c>
      <c r="K34" s="203" t="str">
        <f t="shared" si="17"/>
        <v/>
      </c>
      <c r="L34" s="203" t="str">
        <f t="shared" si="17"/>
        <v/>
      </c>
      <c r="M34" s="203" t="str">
        <f t="shared" si="17"/>
        <v/>
      </c>
      <c r="N34" s="203" t="str">
        <f t="shared" si="17"/>
        <v/>
      </c>
      <c r="O34" s="203" t="str">
        <f t="shared" si="17"/>
        <v/>
      </c>
      <c r="P34" s="203" t="str">
        <f t="shared" si="17"/>
        <v/>
      </c>
      <c r="Q34" s="220"/>
      <c r="R34" s="222"/>
      <c r="S34" s="216"/>
      <c r="T34" s="218"/>
      <c r="U34" s="3"/>
      <c r="V34" s="182"/>
      <c r="W34" s="187"/>
      <c r="X34" s="188"/>
      <c r="Y34" s="183"/>
      <c r="Z34" s="189"/>
      <c r="AK34" s="46">
        <v>33</v>
      </c>
    </row>
    <row r="35" spans="2:37" ht="55.95" customHeight="1" thickBot="1">
      <c r="B35" s="148">
        <v>11</v>
      </c>
      <c r="C35" s="173" t="s">
        <v>64</v>
      </c>
      <c r="D35" s="146">
        <v>45</v>
      </c>
      <c r="E35" s="210"/>
      <c r="F35" s="207"/>
      <c r="G35" s="207"/>
      <c r="H35" s="207"/>
      <c r="I35" s="207"/>
      <c r="J35" s="207"/>
      <c r="K35" s="207"/>
      <c r="L35" s="207"/>
      <c r="M35" s="207"/>
      <c r="N35" s="207"/>
      <c r="O35" s="211"/>
      <c r="P35" s="211"/>
      <c r="Q35" s="219">
        <f>SUM(E35:P35)</f>
        <v>0</v>
      </c>
      <c r="R35" s="221">
        <f>'บางบัวทอง-รถ'!C20</f>
        <v>0</v>
      </c>
      <c r="S35" s="215">
        <v>50</v>
      </c>
      <c r="T35" s="217">
        <f t="shared" ref="T35" si="18">SUM(S35-Q35)</f>
        <v>50</v>
      </c>
      <c r="U35" s="3"/>
      <c r="V35" s="182">
        <f>SUM(E35,F35)</f>
        <v>0</v>
      </c>
      <c r="W35" s="183">
        <f>SUM(G35,H35)</f>
        <v>0</v>
      </c>
      <c r="X35" s="184">
        <f>SUM(I35,J35)</f>
        <v>0</v>
      </c>
      <c r="Y35" s="183">
        <f>SUM(K35,L35,M35,)</f>
        <v>0</v>
      </c>
      <c r="Z35" s="185">
        <f>SUM(N35,O35,P35)</f>
        <v>0</v>
      </c>
      <c r="AK35" s="45" t="str">
        <f>IF(AK30=0, "", IF(MOD(AK30, $D$37) = 0, AK30/ $D$37, IF(INT(AK30 / $D$37) = 0, MOD(AK30, $D$37) &amp; " P", INT(AK30 / $D$37) &amp; " + " &amp; MOD(AK30, $D$37) &amp; " P")))</f>
        <v>2 + 4 P</v>
      </c>
    </row>
    <row r="36" spans="2:37" ht="55.95" customHeight="1" thickBot="1">
      <c r="B36" s="149"/>
      <c r="C36" s="176" t="s">
        <v>114</v>
      </c>
      <c r="D36" s="147"/>
      <c r="E36" s="203" t="str">
        <f>IF(E35=0, "", IF(MOD(E35, $D$35) = 0, E35/ $D$35, IF(INT(E35 / $D$35) = 0, MOD(E35, $D$35) &amp; " P", INT(E35 / $D$35) &amp; " + " &amp; MOD(E35, $D$35) &amp; " P")))</f>
        <v/>
      </c>
      <c r="F36" s="203" t="str">
        <f t="shared" ref="F36:P36" si="19">IF(F35=0, "", IF(MOD(F35, $D$35) = 0, F35/ $D$35, IF(INT(F35 / $D$35) = 0, MOD(F35, $D$35) &amp; " P", INT(F35 / $D$35) &amp; " + " &amp; MOD(F35, $D$35) &amp; " P")))</f>
        <v/>
      </c>
      <c r="G36" s="203" t="str">
        <f t="shared" si="19"/>
        <v/>
      </c>
      <c r="H36" s="203" t="str">
        <f t="shared" si="19"/>
        <v/>
      </c>
      <c r="I36" s="203" t="str">
        <f t="shared" si="19"/>
        <v/>
      </c>
      <c r="J36" s="203" t="str">
        <f t="shared" si="19"/>
        <v/>
      </c>
      <c r="K36" s="203" t="str">
        <f t="shared" si="19"/>
        <v/>
      </c>
      <c r="L36" s="203" t="str">
        <f t="shared" si="19"/>
        <v/>
      </c>
      <c r="M36" s="203" t="str">
        <f>IF(M35=0, "", IF(MOD(M35, $D$35) = 0, M35/ $D$35, IF(INT(M35 / $D$35) = 0, MOD(M35, $D$35) &amp; " P", INT(M35 / $D$35) &amp; " + " &amp; MOD(M35, $D$35) &amp; " P")))</f>
        <v/>
      </c>
      <c r="N36" s="203" t="str">
        <f>IF(N35=0, "", IF(MOD(N35, $D$35) = 0, N35/ $D$35, IF(INT(N35 / $D$35) = 0, MOD(N35, $D$35) &amp; " P", INT(N35 / $D$35) &amp; " + " &amp; MOD(N35, $D$35) &amp; " P")))</f>
        <v/>
      </c>
      <c r="O36" s="203" t="str">
        <f t="shared" si="19"/>
        <v/>
      </c>
      <c r="P36" s="203" t="str">
        <f t="shared" si="19"/>
        <v/>
      </c>
      <c r="Q36" s="220"/>
      <c r="R36" s="222"/>
      <c r="S36" s="216"/>
      <c r="T36" s="218"/>
      <c r="U36" s="3"/>
      <c r="V36" s="182"/>
      <c r="W36" s="187"/>
      <c r="X36" s="188"/>
      <c r="Y36" s="183"/>
      <c r="Z36" s="189"/>
    </row>
    <row r="37" spans="2:37" ht="55.95" customHeight="1" thickBot="1">
      <c r="B37" s="148">
        <v>12</v>
      </c>
      <c r="C37" s="173" t="s">
        <v>133</v>
      </c>
      <c r="D37" s="146">
        <v>15</v>
      </c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19">
        <f>SUM(E37:P37)</f>
        <v>0</v>
      </c>
      <c r="R37" s="221">
        <f>'บางบัวทอง-รถ'!C21</f>
        <v>0</v>
      </c>
      <c r="S37" s="215">
        <v>190</v>
      </c>
      <c r="T37" s="217">
        <f t="shared" ref="T37" si="20">SUM(S37-Q37)</f>
        <v>190</v>
      </c>
      <c r="U37" s="3"/>
      <c r="V37" s="182">
        <f>SUM(E37,F37)</f>
        <v>0</v>
      </c>
      <c r="W37" s="183">
        <f>SUM(G37,H37)</f>
        <v>0</v>
      </c>
      <c r="X37" s="184">
        <f>SUM(I37,J37)</f>
        <v>0</v>
      </c>
      <c r="Y37" s="183">
        <f>SUM(K37,L37,M37,)</f>
        <v>0</v>
      </c>
      <c r="Z37" s="185">
        <f>SUM(N37,O37,P37)</f>
        <v>0</v>
      </c>
      <c r="AK37" s="45" t="str">
        <f>IF(AK32=0, "", IF(MOD(AK32, $D$37) = 0, AK32/ $D$37, IF(INT(AK32 / $D$37) = 0, MOD(AK32, $D$37) &amp; " P", INT(AK32 / $D$37) &amp; " + " &amp; MOD(AK32, $D$37) &amp; " P")))</f>
        <v>2 + 3 P</v>
      </c>
    </row>
    <row r="38" spans="2:37" ht="55.95" customHeight="1" thickBot="1">
      <c r="B38" s="149"/>
      <c r="C38" s="176" t="s">
        <v>134</v>
      </c>
      <c r="D38" s="147"/>
      <c r="E38" s="203" t="str">
        <f>IF(E37=0, "", IF(MOD(E37, $D$37) = 0, E37/ $D$37, IF(INT(E37 / $D$37) = 0, MOD(E37, $D$37) &amp; " P", INT(E37 / $D$37) &amp; " + " &amp; MOD(E37, $D$37) &amp; " P")))</f>
        <v/>
      </c>
      <c r="F38" s="203" t="str">
        <f t="shared" ref="F38:P38" si="21">IF(F37=0, "", IF(MOD(F37, $D$37) = 0, F37/ $D$37, IF(INT(F37 / $D$37) = 0, MOD(F37, $D$37) &amp; " P", INT(F37 / $D$37) &amp; " + " &amp; MOD(F37, $D$37) &amp; " P")))</f>
        <v/>
      </c>
      <c r="G38" s="203" t="str">
        <f t="shared" si="21"/>
        <v/>
      </c>
      <c r="H38" s="203" t="str">
        <f t="shared" si="21"/>
        <v/>
      </c>
      <c r="I38" s="203" t="str">
        <f t="shared" si="21"/>
        <v/>
      </c>
      <c r="J38" s="203" t="str">
        <f t="shared" si="21"/>
        <v/>
      </c>
      <c r="K38" s="203" t="str">
        <f t="shared" si="21"/>
        <v/>
      </c>
      <c r="L38" s="203" t="str">
        <f t="shared" si="21"/>
        <v/>
      </c>
      <c r="M38" s="203" t="str">
        <f t="shared" si="21"/>
        <v/>
      </c>
      <c r="N38" s="203" t="str">
        <f t="shared" si="21"/>
        <v/>
      </c>
      <c r="O38" s="203" t="str">
        <f t="shared" si="21"/>
        <v/>
      </c>
      <c r="P38" s="203" t="str">
        <f t="shared" si="21"/>
        <v/>
      </c>
      <c r="Q38" s="220"/>
      <c r="R38" s="222"/>
      <c r="S38" s="216"/>
      <c r="T38" s="218"/>
      <c r="U38" s="3"/>
      <c r="V38" s="182"/>
      <c r="W38" s="187"/>
      <c r="X38" s="188"/>
      <c r="Y38" s="183"/>
      <c r="Z38" s="189"/>
    </row>
    <row r="39" spans="2:37" ht="55.95" customHeight="1" thickBot="1">
      <c r="B39" s="148">
        <v>13</v>
      </c>
      <c r="C39" s="173" t="s">
        <v>109</v>
      </c>
      <c r="D39" s="146">
        <v>15</v>
      </c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19">
        <f>SUM(E39:P39)</f>
        <v>0</v>
      </c>
      <c r="R39" s="221">
        <f>'บางบัวทอง-รถ'!C22</f>
        <v>0</v>
      </c>
      <c r="S39" s="215">
        <v>100</v>
      </c>
      <c r="T39" s="217">
        <f t="shared" ref="T39" si="22">SUM(S39-Q39)</f>
        <v>100</v>
      </c>
      <c r="U39" s="3"/>
      <c r="V39" s="182">
        <f>SUM(E39,F39)</f>
        <v>0</v>
      </c>
      <c r="W39" s="183">
        <f>SUM(G39,H39)</f>
        <v>0</v>
      </c>
      <c r="X39" s="184">
        <f>SUM(I39,J39)</f>
        <v>0</v>
      </c>
      <c r="Y39" s="183">
        <f>SUM(K39,L39,M39,)</f>
        <v>0</v>
      </c>
      <c r="Z39" s="185">
        <f>SUM(N39,O39,P39)</f>
        <v>0</v>
      </c>
      <c r="AK39" s="45" t="str">
        <f>IF(AK36=0, "", IF(MOD(AK36, $D$37) = 0, AK36/ $D$37, IF(INT(AK36 / $D$37) = 0, MOD(AK36, $D$37) &amp; " P", INT(AK36 / $D$37) &amp; " + " &amp; MOD(AK36, $D$37) &amp; " P")))</f>
        <v/>
      </c>
    </row>
    <row r="40" spans="2:37" ht="55.95" customHeight="1" thickBot="1">
      <c r="B40" s="149"/>
      <c r="C40" s="176" t="s">
        <v>118</v>
      </c>
      <c r="D40" s="147"/>
      <c r="E40" s="203" t="str">
        <f>IF(E39=0, "", IF(MOD(E39, $D$39) = 0, E39/ $D$39, IF(INT(E39 / $D$39) = 0, MOD(E39, $D$39) &amp; " P", INT(E39 / $D$39) &amp; " + " &amp; MOD(E39, $D$39) &amp; " P")))</f>
        <v/>
      </c>
      <c r="F40" s="203" t="str">
        <f t="shared" ref="F40:P40" si="23">IF(F39=0, "", IF(MOD(F39, $D$39) = 0, F39/ $D$39, IF(INT(F39 / $D$39) = 0, MOD(F39, $D$39) &amp; " P", INT(F39 / $D$39) &amp; " + " &amp; MOD(F39, $D$39) &amp; " P")))</f>
        <v/>
      </c>
      <c r="G40" s="203" t="str">
        <f t="shared" si="23"/>
        <v/>
      </c>
      <c r="H40" s="203" t="str">
        <f t="shared" si="23"/>
        <v/>
      </c>
      <c r="I40" s="203" t="str">
        <f t="shared" si="23"/>
        <v/>
      </c>
      <c r="J40" s="203" t="str">
        <f t="shared" si="23"/>
        <v/>
      </c>
      <c r="K40" s="203" t="str">
        <f t="shared" si="23"/>
        <v/>
      </c>
      <c r="L40" s="203" t="str">
        <f t="shared" si="23"/>
        <v/>
      </c>
      <c r="M40" s="203" t="str">
        <f t="shared" si="23"/>
        <v/>
      </c>
      <c r="N40" s="203" t="str">
        <f t="shared" si="23"/>
        <v/>
      </c>
      <c r="O40" s="203" t="str">
        <f t="shared" si="23"/>
        <v/>
      </c>
      <c r="P40" s="203" t="str">
        <f t="shared" si="23"/>
        <v/>
      </c>
      <c r="Q40" s="220"/>
      <c r="R40" s="222"/>
      <c r="S40" s="216"/>
      <c r="T40" s="218"/>
      <c r="U40" s="3"/>
      <c r="V40" s="182"/>
      <c r="W40" s="187"/>
      <c r="X40" s="188"/>
      <c r="Y40" s="183"/>
      <c r="Z40" s="189"/>
    </row>
    <row r="41" spans="2:37" ht="55.95" customHeight="1" thickBot="1">
      <c r="B41" s="148">
        <v>14</v>
      </c>
      <c r="C41" s="173" t="s">
        <v>131</v>
      </c>
      <c r="D41" s="146">
        <v>27</v>
      </c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19">
        <f>SUM(E41:P41)</f>
        <v>0</v>
      </c>
      <c r="R41" s="221">
        <f>'บางบัวทอง-รถ'!C23</f>
        <v>0</v>
      </c>
      <c r="S41" s="215">
        <v>812</v>
      </c>
      <c r="T41" s="217">
        <f t="shared" ref="T41" si="24">SUM(S41-Q41)</f>
        <v>812</v>
      </c>
      <c r="U41" s="3"/>
      <c r="V41" s="182">
        <f>SUM(E41,F41)</f>
        <v>0</v>
      </c>
      <c r="W41" s="183">
        <f>SUM(G41,H41)</f>
        <v>0</v>
      </c>
      <c r="X41" s="184">
        <f>SUM(I41,J41)</f>
        <v>0</v>
      </c>
      <c r="Y41" s="183">
        <f>SUM(K41,L41,M41,)</f>
        <v>0</v>
      </c>
      <c r="Z41" s="185">
        <f>SUM(N41,O41,P41)</f>
        <v>0</v>
      </c>
      <c r="AK41" s="45" t="str">
        <f>IF(AK38=0, "", IF(MOD(AK38, $D$37) = 0, AK38/ $D$37, IF(INT(AK38 / $D$37) = 0, MOD(AK38, $D$37) &amp; " P", INT(AK38 / $D$37) &amp; " + " &amp; MOD(AK38, $D$37) &amp; " P")))</f>
        <v/>
      </c>
    </row>
    <row r="42" spans="2:37" ht="55.95" customHeight="1" thickBot="1">
      <c r="B42" s="149"/>
      <c r="C42" s="176" t="s">
        <v>132</v>
      </c>
      <c r="D42" s="147"/>
      <c r="E42" s="203" t="str">
        <f>IF(E41=0, "", IF(MOD(E41, $D$41) = 0, E41/ $D$41, IF(INT(E41 / $D$41) = 0, MOD(E41, $D$41) &amp; " P", INT(E41 / $D$41) &amp; " + " &amp; MOD(E41, $D$41) &amp; " P")))</f>
        <v/>
      </c>
      <c r="F42" s="203" t="str">
        <f t="shared" ref="F42:P42" si="25">IF(F41=0, "", IF(MOD(F41, $D$41) = 0, F41/ $D$41, IF(INT(F41 / $D$41) = 0, MOD(F41, $D$41) &amp; " P", INT(F41 / $D$41) &amp; " + " &amp; MOD(F41, $D$41) &amp; " P")))</f>
        <v/>
      </c>
      <c r="G42" s="203" t="str">
        <f t="shared" si="25"/>
        <v/>
      </c>
      <c r="H42" s="203" t="str">
        <f t="shared" si="25"/>
        <v/>
      </c>
      <c r="I42" s="203" t="str">
        <f t="shared" si="25"/>
        <v/>
      </c>
      <c r="J42" s="203" t="str">
        <f t="shared" si="25"/>
        <v/>
      </c>
      <c r="K42" s="203" t="str">
        <f t="shared" si="25"/>
        <v/>
      </c>
      <c r="L42" s="203" t="str">
        <f t="shared" si="25"/>
        <v/>
      </c>
      <c r="M42" s="203" t="str">
        <f t="shared" si="25"/>
        <v/>
      </c>
      <c r="N42" s="203" t="str">
        <f t="shared" si="25"/>
        <v/>
      </c>
      <c r="O42" s="203" t="str">
        <f t="shared" si="25"/>
        <v/>
      </c>
      <c r="P42" s="203" t="str">
        <f t="shared" si="25"/>
        <v/>
      </c>
      <c r="Q42" s="220"/>
      <c r="R42" s="222"/>
      <c r="S42" s="216"/>
      <c r="T42" s="218"/>
      <c r="U42" s="3"/>
      <c r="V42" s="182"/>
      <c r="W42" s="187"/>
      <c r="X42" s="188"/>
      <c r="Y42" s="183"/>
      <c r="Z42" s="189"/>
    </row>
    <row r="43" spans="2:37" ht="55.95" customHeight="1" thickBot="1">
      <c r="B43" s="148">
        <v>15</v>
      </c>
      <c r="C43" s="173" t="s">
        <v>65</v>
      </c>
      <c r="D43" s="146">
        <v>20</v>
      </c>
      <c r="E43" s="200"/>
      <c r="F43" s="200"/>
      <c r="G43" s="200"/>
      <c r="H43" s="212"/>
      <c r="I43" s="200"/>
      <c r="J43" s="200"/>
      <c r="K43" s="200"/>
      <c r="L43" s="200"/>
      <c r="M43" s="200"/>
      <c r="N43" s="200"/>
      <c r="O43" s="200"/>
      <c r="P43" s="200"/>
      <c r="Q43" s="219">
        <f>SUM(E43:P43)</f>
        <v>0</v>
      </c>
      <c r="R43" s="221">
        <f>'บางบัวทอง-รถ'!C24</f>
        <v>0</v>
      </c>
      <c r="S43" s="215">
        <v>400</v>
      </c>
      <c r="T43" s="217">
        <f t="shared" ref="T43" si="26">SUM(S43-Q43)</f>
        <v>400</v>
      </c>
      <c r="U43" s="3"/>
      <c r="V43" s="182">
        <f>SUM(E43,F43)</f>
        <v>0</v>
      </c>
      <c r="W43" s="183">
        <f>SUM(G43,H43)</f>
        <v>0</v>
      </c>
      <c r="X43" s="184">
        <f>SUM(I43,J43)</f>
        <v>0</v>
      </c>
      <c r="Y43" s="183">
        <f>SUM(K43,L43,M43,)</f>
        <v>0</v>
      </c>
      <c r="Z43" s="185">
        <f>SUM(N43,O43,P43)</f>
        <v>0</v>
      </c>
      <c r="AK43" s="45" t="str">
        <f>IF(AK36=0, "", IF(MOD(AK36, $D$37) = 0, AK36/ $D$37, IF(INT(AK36 / $D$37) = 0, MOD(AK36, $D$37) &amp; " P", INT(AK36 / $D$37) &amp; " + " &amp; MOD(AK36, $D$37) &amp; " P")))</f>
        <v/>
      </c>
    </row>
    <row r="44" spans="2:37" ht="55.95" customHeight="1" thickBot="1">
      <c r="B44" s="149"/>
      <c r="C44" s="175" t="s">
        <v>115</v>
      </c>
      <c r="D44" s="147"/>
      <c r="E44" s="203" t="str">
        <f>IF(E43=0, "", IF(MOD(E43, $D$43) = 0, E43/ $D$43, IF(INT(E43 / $D$43) = 0, MOD(E43, $D$43) &amp; " P", INT(E43 / $D$43) &amp; " + " &amp; MOD(E43, $D$43) &amp; " P")))</f>
        <v/>
      </c>
      <c r="F44" s="203" t="str">
        <f t="shared" ref="F44:P44" si="27">IF(F43=0, "", IF(MOD(F43, $D$43) = 0, F43/ $D$43, IF(INT(F43 / $D$43) = 0, MOD(F43, $D$43) &amp; " P", INT(F43 / $D$43) &amp; " + " &amp; MOD(F43, $D$43) &amp; " P")))</f>
        <v/>
      </c>
      <c r="G44" s="203" t="str">
        <f t="shared" si="27"/>
        <v/>
      </c>
      <c r="H44" s="213" t="str">
        <f t="shared" si="27"/>
        <v/>
      </c>
      <c r="I44" s="203" t="str">
        <f t="shared" si="27"/>
        <v/>
      </c>
      <c r="J44" s="203" t="str">
        <f t="shared" si="27"/>
        <v/>
      </c>
      <c r="K44" s="203" t="str">
        <f t="shared" si="27"/>
        <v/>
      </c>
      <c r="L44" s="203" t="str">
        <f t="shared" si="27"/>
        <v/>
      </c>
      <c r="M44" s="203" t="str">
        <f t="shared" si="27"/>
        <v/>
      </c>
      <c r="N44" s="203" t="str">
        <f t="shared" si="27"/>
        <v/>
      </c>
      <c r="O44" s="203" t="str">
        <f t="shared" si="27"/>
        <v/>
      </c>
      <c r="P44" s="203" t="str">
        <f t="shared" si="27"/>
        <v/>
      </c>
      <c r="Q44" s="220"/>
      <c r="R44" s="222"/>
      <c r="S44" s="216"/>
      <c r="T44" s="218"/>
      <c r="U44" s="3"/>
      <c r="V44" s="182"/>
      <c r="W44" s="187"/>
      <c r="X44" s="188"/>
      <c r="Y44" s="183"/>
      <c r="Z44" s="189"/>
    </row>
    <row r="45" spans="2:37" ht="55.95" customHeight="1" thickBot="1">
      <c r="B45" s="148">
        <v>16</v>
      </c>
      <c r="C45" s="172" t="s">
        <v>66</v>
      </c>
      <c r="D45" s="146">
        <v>32</v>
      </c>
      <c r="E45" s="200"/>
      <c r="F45" s="200"/>
      <c r="G45" s="200"/>
      <c r="H45" s="212"/>
      <c r="I45" s="200"/>
      <c r="J45" s="200"/>
      <c r="K45" s="200"/>
      <c r="L45" s="200"/>
      <c r="M45" s="200"/>
      <c r="N45" s="200"/>
      <c r="O45" s="200"/>
      <c r="P45" s="200"/>
      <c r="Q45" s="219">
        <f>SUM(E45:P45)</f>
        <v>0</v>
      </c>
      <c r="R45" s="221">
        <f>'บางบัวทอง-รถ'!C25</f>
        <v>0</v>
      </c>
      <c r="S45" s="215">
        <v>200</v>
      </c>
      <c r="T45" s="217">
        <f t="shared" ref="T45" si="28">SUM(S45-Q45)</f>
        <v>200</v>
      </c>
      <c r="U45" s="3"/>
      <c r="V45" s="182">
        <f>SUM(E45,F45)</f>
        <v>0</v>
      </c>
      <c r="W45" s="183">
        <f>SUM(G45,H45)</f>
        <v>0</v>
      </c>
      <c r="X45" s="184">
        <f>SUM(I45,J45)</f>
        <v>0</v>
      </c>
      <c r="Y45" s="183">
        <f>SUM(K45,L45,M45,)</f>
        <v>0</v>
      </c>
      <c r="Z45" s="185">
        <f>SUM(N45,O45,P45)</f>
        <v>0</v>
      </c>
      <c r="AK45" s="45" t="str">
        <f>IF(AK38=0, "", IF(MOD(AK38, $D$37) = 0, AK38/ $D$37, IF(INT(AK38 / $D$37) = 0, MOD(AK38, $D$37) &amp; " P", INT(AK38 / $D$37) &amp; " + " &amp; MOD(AK38, $D$37) &amp; " P")))</f>
        <v/>
      </c>
    </row>
    <row r="46" spans="2:37" ht="55.95" customHeight="1" thickBot="1">
      <c r="B46" s="149"/>
      <c r="C46" s="175" t="s">
        <v>116</v>
      </c>
      <c r="D46" s="147"/>
      <c r="E46" s="203" t="str">
        <f>IF(E45=0, "", IF(MOD(E45, $D$45) = 0, E45/ $D$45, IF(INT(E45 / $D$45) = 0, MOD(E45, $D$45) &amp; " P", INT(E45 / $D$45) &amp; " + " &amp; MOD(E45, $D$45) &amp; " P")))</f>
        <v/>
      </c>
      <c r="F46" s="203" t="str">
        <f>IF(F45=0, "", IF(MOD(F45, $D$45) = 0, F45/ $D$45, IF(INT(F45 / $D$45) = 0, MOD(F45, $D$45) &amp; " P", INT(F45 / $D$45) &amp; " + " &amp; MOD(F45, $D$45) &amp; " P")))</f>
        <v/>
      </c>
      <c r="G46" s="203" t="str">
        <f t="shared" ref="G46:P46" si="29">IF(G45=0, "", IF(MOD(G45, $D$45) = 0, G45/ $D$45, IF(INT(G45 / $D$45) = 0, MOD(G45, $D$45) &amp; " P", INT(G45 / $D$45) &amp; " + " &amp; MOD(G45, $D$45) &amp; " P")))</f>
        <v/>
      </c>
      <c r="H46" s="213" t="str">
        <f t="shared" si="29"/>
        <v/>
      </c>
      <c r="I46" s="203" t="str">
        <f t="shared" si="29"/>
        <v/>
      </c>
      <c r="J46" s="203" t="str">
        <f t="shared" si="29"/>
        <v/>
      </c>
      <c r="K46" s="203" t="str">
        <f t="shared" si="29"/>
        <v/>
      </c>
      <c r="L46" s="203" t="str">
        <f t="shared" si="29"/>
        <v/>
      </c>
      <c r="M46" s="203" t="str">
        <f t="shared" si="29"/>
        <v/>
      </c>
      <c r="N46" s="203" t="str">
        <f t="shared" si="29"/>
        <v/>
      </c>
      <c r="O46" s="203" t="str">
        <f t="shared" si="29"/>
        <v/>
      </c>
      <c r="P46" s="203" t="str">
        <f t="shared" si="29"/>
        <v/>
      </c>
      <c r="Q46" s="220"/>
      <c r="R46" s="222"/>
      <c r="S46" s="216"/>
      <c r="T46" s="218"/>
      <c r="U46" s="3"/>
      <c r="V46" s="182"/>
      <c r="W46" s="187"/>
      <c r="X46" s="188"/>
      <c r="Y46" s="183"/>
      <c r="Z46" s="189"/>
    </row>
    <row r="47" spans="2:37" ht="55.95" customHeight="1" thickBot="1">
      <c r="B47" s="148">
        <v>17</v>
      </c>
      <c r="C47" s="171" t="s">
        <v>105</v>
      </c>
      <c r="D47" s="146">
        <v>15</v>
      </c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19">
        <f>SUM(E47:P47)</f>
        <v>0</v>
      </c>
      <c r="R47" s="221">
        <f>'บางบัวทอง-รถ'!C26</f>
        <v>0</v>
      </c>
      <c r="S47" s="215">
        <v>110</v>
      </c>
      <c r="T47" s="217">
        <f t="shared" ref="T47" si="30">SUM(S47-Q47)</f>
        <v>110</v>
      </c>
      <c r="U47" s="3"/>
      <c r="V47" s="182">
        <f>SUM(E47,F47)</f>
        <v>0</v>
      </c>
      <c r="W47" s="183">
        <f>SUM(G47,H47)</f>
        <v>0</v>
      </c>
      <c r="X47" s="184">
        <f>SUM(I47,J47)</f>
        <v>0</v>
      </c>
      <c r="Y47" s="183">
        <f>SUM(K47,L47,M47,)</f>
        <v>0</v>
      </c>
      <c r="Z47" s="185">
        <f>SUM(N47,O47,P47)</f>
        <v>0</v>
      </c>
      <c r="AK47" s="45" t="str">
        <f>IF(AK38=0, "", IF(MOD(AK38, $D$37) = 0, AK38/ $D$37, IF(INT(AK38 / $D$37) = 0, MOD(AK38, $D$37) &amp; " P", INT(AK38 / $D$37) &amp; " + " &amp; MOD(AK38, $D$37) &amp; " P")))</f>
        <v/>
      </c>
    </row>
    <row r="48" spans="2:37" ht="55.95" customHeight="1" thickBot="1">
      <c r="B48" s="149"/>
      <c r="C48" s="176" t="s">
        <v>117</v>
      </c>
      <c r="D48" s="147"/>
      <c r="E48" s="203" t="str">
        <f>IF(E47=0, "", IF(MOD(E47, $D$47) = 0, E47/ $D$47, IF(INT(E47 / $D$47) = 0, MOD(E47, $D$47) &amp; " P", INT(E47 / $D$47) &amp; " + " &amp; MOD(E47, $D$47) &amp; " P")))</f>
        <v/>
      </c>
      <c r="F48" s="203" t="str">
        <f t="shared" ref="F48:P48" si="31">IF(F47=0, "", IF(MOD(F47, $D$47) = 0, F47/ $D$47, IF(INT(F47 / $D$47) = 0, MOD(F47, $D$47) &amp; " P", INT(F47 / $D$47) &amp; " + " &amp; MOD(F47, $D$47) &amp; " P")))</f>
        <v/>
      </c>
      <c r="G48" s="203" t="str">
        <f t="shared" si="31"/>
        <v/>
      </c>
      <c r="H48" s="203" t="str">
        <f t="shared" si="31"/>
        <v/>
      </c>
      <c r="I48" s="203" t="str">
        <f t="shared" si="31"/>
        <v/>
      </c>
      <c r="J48" s="203" t="str">
        <f t="shared" si="31"/>
        <v/>
      </c>
      <c r="K48" s="203" t="str">
        <f t="shared" si="31"/>
        <v/>
      </c>
      <c r="L48" s="203" t="str">
        <f t="shared" si="31"/>
        <v/>
      </c>
      <c r="M48" s="203" t="str">
        <f t="shared" si="31"/>
        <v/>
      </c>
      <c r="N48" s="203" t="str">
        <f t="shared" si="31"/>
        <v/>
      </c>
      <c r="O48" s="203" t="str">
        <f t="shared" si="31"/>
        <v/>
      </c>
      <c r="P48" s="203" t="str">
        <f t="shared" si="31"/>
        <v/>
      </c>
      <c r="Q48" s="220"/>
      <c r="R48" s="222"/>
      <c r="S48" s="216"/>
      <c r="T48" s="218"/>
      <c r="U48" s="3"/>
      <c r="V48" s="182"/>
      <c r="W48" s="187"/>
      <c r="X48" s="188"/>
      <c r="Y48" s="183"/>
      <c r="Z48" s="189"/>
    </row>
    <row r="49" spans="2:37" ht="55.95" customHeight="1" thickBot="1">
      <c r="B49" s="148">
        <v>18</v>
      </c>
      <c r="C49" s="170" t="s">
        <v>146</v>
      </c>
      <c r="D49" s="196">
        <v>8</v>
      </c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19">
        <f>SUM(E49:P49)</f>
        <v>0</v>
      </c>
      <c r="R49" s="221">
        <f>'บางบัวทอง-รถ'!C27</f>
        <v>0</v>
      </c>
      <c r="S49" s="215">
        <v>50</v>
      </c>
      <c r="T49" s="217">
        <f t="shared" ref="T49" si="32">SUM(S49-Q49)</f>
        <v>50</v>
      </c>
      <c r="U49" s="3"/>
      <c r="V49" s="182">
        <f>SUM(E49,F49)</f>
        <v>0</v>
      </c>
      <c r="W49" s="183">
        <f>SUM(G49,H49)</f>
        <v>0</v>
      </c>
      <c r="X49" s="184">
        <f>SUM(I49,J49)</f>
        <v>0</v>
      </c>
      <c r="Y49" s="183">
        <f>SUM(K49,L49,M49,)</f>
        <v>0</v>
      </c>
      <c r="Z49" s="185">
        <f>SUM(N49,O49,P49)</f>
        <v>0</v>
      </c>
      <c r="AK49" s="45" t="str">
        <f>IF(AK40=0, "", IF(MOD(AK40, $D$37) = 0, AK40/ $D$37, IF(INT(AK40 / $D$37) = 0, MOD(AK40, $D$37) &amp; " P", INT(AK40 / $D$37) &amp; " + " &amp; MOD(AK40, $D$37) &amp; " P")))</f>
        <v/>
      </c>
    </row>
    <row r="50" spans="2:37" ht="55.95" customHeight="1" thickBot="1">
      <c r="B50" s="149"/>
      <c r="C50" s="198" t="s">
        <v>145</v>
      </c>
      <c r="D50" s="197"/>
      <c r="E50" s="203" t="str">
        <f>IF(E49=0, "", IF(MOD(E49, $D$49) = 0, E49/ $D$49, IF(INT(E49 / $D$49) = 0, MOD(E49, $D$49) &amp; " P", INT(E49 / $D$49) &amp; " + " &amp; MOD(E49, $D$49) &amp; " P")))</f>
        <v/>
      </c>
      <c r="F50" s="203" t="str">
        <f t="shared" ref="F50:P50" si="33">IF(F49=0, "", IF(MOD(F49, $D$49) = 0, F49/ $D$49, IF(INT(F49 / $D$49) = 0, MOD(F49, $D$49) &amp; " P", INT(F49 / $D$49) &amp; " + " &amp; MOD(F49, $D$49) &amp; " P")))</f>
        <v/>
      </c>
      <c r="G50" s="203" t="str">
        <f t="shared" si="33"/>
        <v/>
      </c>
      <c r="H50" s="203" t="str">
        <f t="shared" si="33"/>
        <v/>
      </c>
      <c r="I50" s="203" t="str">
        <f t="shared" si="33"/>
        <v/>
      </c>
      <c r="J50" s="203" t="str">
        <f t="shared" si="33"/>
        <v/>
      </c>
      <c r="K50" s="203" t="str">
        <f t="shared" si="33"/>
        <v/>
      </c>
      <c r="L50" s="203" t="str">
        <f t="shared" si="33"/>
        <v/>
      </c>
      <c r="M50" s="203" t="str">
        <f t="shared" si="33"/>
        <v/>
      </c>
      <c r="N50" s="203" t="str">
        <f t="shared" si="33"/>
        <v/>
      </c>
      <c r="O50" s="203" t="str">
        <f t="shared" si="33"/>
        <v/>
      </c>
      <c r="P50" s="203" t="str">
        <f t="shared" si="33"/>
        <v/>
      </c>
      <c r="Q50" s="220"/>
      <c r="R50" s="222"/>
      <c r="S50" s="216"/>
      <c r="T50" s="218"/>
      <c r="U50" s="3"/>
      <c r="V50" s="182"/>
      <c r="W50" s="187"/>
      <c r="X50" s="188"/>
      <c r="Y50" s="183"/>
      <c r="Z50" s="189"/>
    </row>
    <row r="51" spans="2:37" ht="79.95" customHeight="1" thickBot="1">
      <c r="B51" s="239" t="s">
        <v>81</v>
      </c>
      <c r="C51" s="240"/>
      <c r="D51" s="241"/>
      <c r="E51" s="214">
        <f>-SUM(ROUNDUP(E15/$D$15,0), ROUNDUP(E17/$D$17,0), ROUNDUP(E19/$D$19,0), ROUNDUP(E21/$D$21,0), ROUNDUP(E23/$D$23,0), ROUNDUP(E25/$D$25,0), ROUNDUP(E27/$D$27,0), ROUNDUP(E29/$D$29,0), ROUNDUP(E31/$D$31,0), ROUNDUP(E33/$D$33,0), ROUNDUP(E35/$D$35,0), ROUNDUP(E37/$D$37,0), ROUNDUP(E39/$D$39,0), ROUNDUP(E41/$D$41,0), ROUNDUP(E43/$D$43,0), ROUNDUP(E45/$D$45,0), ROUNDUP(E47/$D$47,0), ROUNDUP(E49/$D$49,0))</f>
        <v>0</v>
      </c>
      <c r="F51" s="214">
        <f>-SUM(ROUNDUP(F15/$D$15,0), ROUNDUP(F17/$D$17,0), ROUNDUP(F19/$D$19,0), ROUNDUP(F21/$D$21,0), ROUNDUP(F23/$D$23,0), ROUNDUP(F25/$D$25,0), ROUNDUP(F27/$D$27,0), ROUNDUP(F29/$D$29,0), ROUNDUP(F31/$D$31,0), ROUNDUP(F33/$D$33,0), ROUNDUP(F35/$D$35,0), ROUNDUP(F37/$D$37,0), ROUNDUP(F39/$D$39,0), ROUNDUP(F41/$D$41,0), ROUNDUP(F43/$D$43,0), ROUNDUP(F45/$D$45,0), ROUNDUP(F47/$D$47,0), ROUNDUP(F49/$D$49,0))</f>
        <v>0</v>
      </c>
      <c r="G51" s="214">
        <f>-SUM(ROUNDUP(G15/$D$15,0), ROUNDUP(G17/$D$17,0), ROUNDUP(G19/$D$19,0), ROUNDUP(G21/$D$21,0), ROUNDUP(G23/$D$23,0), ROUNDUP(G25/$D$25,0), ROUNDUP(G27/$D$27,0), ROUNDUP(G29/$D$29,0), ROUNDUP(G31/$D$31,0), ROUNDUP(G33/$D$33,0), ROUNDUP(G35/$D$35,0), ROUNDUP(G37/$D$37,0), ROUNDUP(G39/$D$39,0), ROUNDUP(G41/$D$41,0), ROUNDUP(G43/$D$43,0), ROUNDUP(G45/$D$45,0), ROUNDUP(G47/$D$47,0), ROUNDUP(G49/$D$49,0))</f>
        <v>0</v>
      </c>
      <c r="H51" s="214">
        <f>-SUM(ROUNDUP(H15/$D$15,0), ROUNDUP(H17/$D$17,0), ROUNDUP(H19/$D$19,0), ROUNDUP(H21/$D$21,0), ROUNDUP(H23/$D$23,0), ROUNDUP(H25/$D$25,0), ROUNDUP(H27/$D$27,0), ROUNDUP(H29/$D$29,0), ROUNDUP(H31/$D$31,0), ROUNDUP(H33/$D$33,0), ROUNDUP(H35/$D$35,0), ROUNDUP(H37/$D$37,0), ROUNDUP(H39/$D$39,0), ROUNDUP(H41/$D$41,0), ROUNDUP(H43/$D$43,0), ROUNDUP(H45/$D$45,0), ROUNDUP(H47/$D$47,0), ROUNDUP(H49/$D$49,0))</f>
        <v>0</v>
      </c>
      <c r="I51" s="214">
        <f>-SUM(ROUNDUP(I15/$D$15,0), ROUNDUP(I17/$D$17,0), ROUNDUP(I19/$D$19,0), ROUNDUP(I21/$D$21,0), ROUNDUP(I23/$D$23,0), ROUNDUP(I25/$D$25,0), ROUNDUP(I27/$D$27,0), ROUNDUP(I29/$D$29,0), ROUNDUP(I31/$D$31,0), ROUNDUP(I33/$D$33,0), ROUNDUP(I35/$D$35,0), ROUNDUP(I37/$D$37,0), ROUNDUP(I39/$D$39,0), ROUNDUP(I41/$D$41,0), ROUNDUP(I43/$D$43,0), ROUNDUP(I45/$D$45,0), ROUNDUP(I47/$D$47,0), ROUNDUP(I49/$D$49,0))</f>
        <v>0</v>
      </c>
      <c r="J51" s="214">
        <f t="shared" ref="J51:P51" si="34">-SUM(ROUNDUP(J15/$D$15,0), ROUNDUP(J17/$D$17,0), ROUNDUP(J19/$D$19,0), ROUNDUP(J21/$D$21,0), ROUNDUP(J23/$D$23,0), ROUNDUP(J25/$D$25,0), ROUNDUP(J27/$D$27,0), ROUNDUP(J29/$D$29,0), ROUNDUP(J31/$D$31,0), ROUNDUP(J33/$D$33,0), ROUNDUP(J35/$D$35,0), ROUNDUP(J37/$D$37,0), ROUNDUP(J39/$D$39,0), ROUNDUP(J41/$D$41,0), ROUNDUP(J43/$D$43,0), ROUNDUP(J45/$D$45,0), ROUNDUP(J47/$D$47,0), ROUNDUP(J49/$D$49,0))</f>
        <v>0</v>
      </c>
      <c r="K51" s="214">
        <f t="shared" si="34"/>
        <v>0</v>
      </c>
      <c r="L51" s="214">
        <f t="shared" si="34"/>
        <v>0</v>
      </c>
      <c r="M51" s="214">
        <f t="shared" si="34"/>
        <v>0</v>
      </c>
      <c r="N51" s="214">
        <f t="shared" si="34"/>
        <v>0</v>
      </c>
      <c r="O51" s="214">
        <f t="shared" si="34"/>
        <v>0</v>
      </c>
      <c r="P51" s="214">
        <f t="shared" si="34"/>
        <v>0</v>
      </c>
      <c r="Q51" s="194"/>
      <c r="R51" s="195">
        <f>SUM(R15:R50)</f>
        <v>0</v>
      </c>
      <c r="S51" s="144"/>
      <c r="T51" s="145"/>
      <c r="U51" s="3"/>
      <c r="V51" s="190"/>
      <c r="W51" s="191"/>
      <c r="X51" s="192"/>
      <c r="Y51" s="193"/>
      <c r="Z51" s="192"/>
    </row>
    <row r="52" spans="2:37" ht="22.95" customHeight="1" thickBot="1"/>
    <row r="53" spans="2:37" ht="58.2" customHeight="1" thickBot="1">
      <c r="B53" s="246" t="s">
        <v>49</v>
      </c>
      <c r="C53" s="247"/>
      <c r="D53" s="246" t="s">
        <v>53</v>
      </c>
      <c r="E53" s="247"/>
      <c r="F53" s="246" t="s">
        <v>54</v>
      </c>
      <c r="G53" s="247"/>
      <c r="H53" s="246" t="s">
        <v>71</v>
      </c>
      <c r="I53" s="247"/>
      <c r="J53" s="306" t="s">
        <v>88</v>
      </c>
      <c r="K53" s="307"/>
      <c r="L53" s="307"/>
      <c r="M53" s="307"/>
      <c r="N53" s="307"/>
      <c r="O53" s="307"/>
      <c r="P53" s="307"/>
      <c r="Q53" s="302">
        <f>SUM(R51)</f>
        <v>0</v>
      </c>
      <c r="R53" s="304" t="s">
        <v>89</v>
      </c>
      <c r="T53" s="31"/>
      <c r="U53" s="3"/>
    </row>
    <row r="54" spans="2:37" ht="52.95" customHeight="1">
      <c r="B54" s="248" t="s">
        <v>72</v>
      </c>
      <c r="C54" s="249"/>
      <c r="D54" s="250"/>
      <c r="E54" s="251"/>
      <c r="F54" s="250"/>
      <c r="G54" s="251"/>
      <c r="H54" s="250"/>
      <c r="I54" s="251"/>
      <c r="J54" s="306"/>
      <c r="K54" s="307"/>
      <c r="L54" s="307"/>
      <c r="M54" s="307"/>
      <c r="N54" s="307"/>
      <c r="O54" s="307"/>
      <c r="P54" s="307"/>
      <c r="Q54" s="303"/>
      <c r="R54" s="304"/>
      <c r="T54" s="31"/>
      <c r="U54" s="3"/>
    </row>
    <row r="55" spans="2:37" ht="52.95" customHeight="1" thickBot="1">
      <c r="B55" s="234" t="s">
        <v>74</v>
      </c>
      <c r="C55" s="235"/>
      <c r="D55" s="236"/>
      <c r="E55" s="237"/>
      <c r="F55" s="236"/>
      <c r="G55" s="237"/>
      <c r="H55" s="236"/>
      <c r="I55" s="237"/>
      <c r="M55" s="52"/>
      <c r="N55" s="238" t="s">
        <v>73</v>
      </c>
      <c r="O55" s="238"/>
      <c r="P55" s="238"/>
      <c r="Q55" s="238"/>
      <c r="R55" s="238"/>
      <c r="T55" s="31"/>
      <c r="U55" s="3"/>
    </row>
    <row r="56" spans="2:37" ht="52.95" customHeight="1" thickBot="1">
      <c r="B56" s="242" t="s">
        <v>76</v>
      </c>
      <c r="C56" s="243"/>
      <c r="D56" s="244"/>
      <c r="E56" s="245"/>
      <c r="F56" s="244"/>
      <c r="G56" s="245"/>
      <c r="H56" s="244"/>
      <c r="I56" s="245"/>
      <c r="K56" s="199" t="s">
        <v>77</v>
      </c>
      <c r="L56" s="68"/>
      <c r="M56" s="89"/>
      <c r="N56" s="69"/>
      <c r="O56" s="39" t="s">
        <v>75</v>
      </c>
      <c r="P56" s="39" t="s">
        <v>75</v>
      </c>
      <c r="Q56" s="39" t="s">
        <v>59</v>
      </c>
      <c r="R56" s="40"/>
      <c r="T56" s="31"/>
      <c r="U56" s="3"/>
    </row>
    <row r="57" spans="2:37" ht="64.2" customHeight="1" thickBot="1">
      <c r="D57" s="52"/>
      <c r="E57" s="41"/>
      <c r="F57" s="41"/>
      <c r="G57" s="69"/>
      <c r="H57" s="69"/>
      <c r="I57" s="41"/>
      <c r="K57" s="41"/>
      <c r="N57" s="41"/>
      <c r="O57" s="39"/>
      <c r="P57" s="39"/>
      <c r="Q57" s="39"/>
      <c r="R57" s="41"/>
      <c r="T57" s="31"/>
      <c r="U57" s="3"/>
    </row>
  </sheetData>
  <mergeCells count="129">
    <mergeCell ref="S47:S48"/>
    <mergeCell ref="T47:T48"/>
    <mergeCell ref="Q53:Q54"/>
    <mergeCell ref="R53:R54"/>
    <mergeCell ref="D23:D24"/>
    <mergeCell ref="D27:D28"/>
    <mergeCell ref="D25:D26"/>
    <mergeCell ref="Q39:Q40"/>
    <mergeCell ref="Q33:Q34"/>
    <mergeCell ref="R33:R34"/>
    <mergeCell ref="Q37:Q38"/>
    <mergeCell ref="R37:R38"/>
    <mergeCell ref="J53:P54"/>
    <mergeCell ref="Q45:Q46"/>
    <mergeCell ref="R45:R46"/>
    <mergeCell ref="D33:D34"/>
    <mergeCell ref="R23:R24"/>
    <mergeCell ref="R31:R32"/>
    <mergeCell ref="Q47:Q48"/>
    <mergeCell ref="R47:R48"/>
    <mergeCell ref="S31:S32"/>
    <mergeCell ref="S23:S24"/>
    <mergeCell ref="T23:T24"/>
    <mergeCell ref="S29:S30"/>
    <mergeCell ref="Y12:Y13"/>
    <mergeCell ref="B17:B18"/>
    <mergeCell ref="D17:D18"/>
    <mergeCell ref="Q17:Q18"/>
    <mergeCell ref="R17:R18"/>
    <mergeCell ref="S17:S18"/>
    <mergeCell ref="T17:T18"/>
    <mergeCell ref="R19:R20"/>
    <mergeCell ref="S19:S20"/>
    <mergeCell ref="T19:T20"/>
    <mergeCell ref="E13:F13"/>
    <mergeCell ref="D19:D20"/>
    <mergeCell ref="Q15:Q16"/>
    <mergeCell ref="R15:R16"/>
    <mergeCell ref="S15:S16"/>
    <mergeCell ref="T15:T16"/>
    <mergeCell ref="I12:J12"/>
    <mergeCell ref="Q12:R13"/>
    <mergeCell ref="S12:S14"/>
    <mergeCell ref="B12:C14"/>
    <mergeCell ref="D12:D14"/>
    <mergeCell ref="E12:F12"/>
    <mergeCell ref="G12:H12"/>
    <mergeCell ref="T12:T14"/>
    <mergeCell ref="T25:T26"/>
    <mergeCell ref="Q27:Q28"/>
    <mergeCell ref="R27:R28"/>
    <mergeCell ref="S27:S28"/>
    <mergeCell ref="L4:M4"/>
    <mergeCell ref="B15:B16"/>
    <mergeCell ref="D15:D16"/>
    <mergeCell ref="B10:D11"/>
    <mergeCell ref="B21:B22"/>
    <mergeCell ref="D21:D22"/>
    <mergeCell ref="Q21:Q22"/>
    <mergeCell ref="R21:R22"/>
    <mergeCell ref="G13:H13"/>
    <mergeCell ref="I13:J13"/>
    <mergeCell ref="K12:M12"/>
    <mergeCell ref="K13:M13"/>
    <mergeCell ref="B19:B20"/>
    <mergeCell ref="E9:P10"/>
    <mergeCell ref="N13:P13"/>
    <mergeCell ref="N12:P12"/>
    <mergeCell ref="Q19:Q20"/>
    <mergeCell ref="B56:C56"/>
    <mergeCell ref="D56:E56"/>
    <mergeCell ref="F56:G56"/>
    <mergeCell ref="H56:I56"/>
    <mergeCell ref="B53:C53"/>
    <mergeCell ref="D53:E53"/>
    <mergeCell ref="F53:G53"/>
    <mergeCell ref="H53:I53"/>
    <mergeCell ref="B54:C54"/>
    <mergeCell ref="D54:E54"/>
    <mergeCell ref="F54:G54"/>
    <mergeCell ref="H54:I54"/>
    <mergeCell ref="Z12:Z13"/>
    <mergeCell ref="W11:AA11"/>
    <mergeCell ref="B55:C55"/>
    <mergeCell ref="D55:E55"/>
    <mergeCell ref="F55:G55"/>
    <mergeCell ref="H55:I55"/>
    <mergeCell ref="N55:R55"/>
    <mergeCell ref="S39:S40"/>
    <mergeCell ref="T39:T40"/>
    <mergeCell ref="B51:D51"/>
    <mergeCell ref="Q41:Q42"/>
    <mergeCell ref="R41:R42"/>
    <mergeCell ref="S41:S42"/>
    <mergeCell ref="T41:T42"/>
    <mergeCell ref="Q49:Q50"/>
    <mergeCell ref="R49:R50"/>
    <mergeCell ref="S49:S50"/>
    <mergeCell ref="T49:T50"/>
    <mergeCell ref="R39:R40"/>
    <mergeCell ref="S37:S38"/>
    <mergeCell ref="Q29:Q30"/>
    <mergeCell ref="R29:R30"/>
    <mergeCell ref="T31:T32"/>
    <mergeCell ref="T29:T30"/>
    <mergeCell ref="S45:S46"/>
    <mergeCell ref="T45:T46"/>
    <mergeCell ref="Q43:Q44"/>
    <mergeCell ref="R43:R44"/>
    <mergeCell ref="S43:S44"/>
    <mergeCell ref="T43:T44"/>
    <mergeCell ref="X12:X13"/>
    <mergeCell ref="W12:W13"/>
    <mergeCell ref="V12:V13"/>
    <mergeCell ref="T37:T38"/>
    <mergeCell ref="Q31:Q32"/>
    <mergeCell ref="Q25:Q26"/>
    <mergeCell ref="R25:R26"/>
    <mergeCell ref="S25:S26"/>
    <mergeCell ref="S33:S34"/>
    <mergeCell ref="T33:T34"/>
    <mergeCell ref="S21:S22"/>
    <mergeCell ref="T21:T22"/>
    <mergeCell ref="Q35:Q36"/>
    <mergeCell ref="R35:R36"/>
    <mergeCell ref="S35:S36"/>
    <mergeCell ref="T35:T36"/>
    <mergeCell ref="T27:T28"/>
    <mergeCell ref="Q23:Q24"/>
  </mergeCells>
  <phoneticPr fontId="2" type="noConversion"/>
  <printOptions horizontalCentered="1"/>
  <pageMargins left="0" right="0" top="0.15748031496062992" bottom="0" header="0" footer="0"/>
  <pageSetup paperSize="9" scale="2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E104-985C-4BC0-B1FE-3BA893F14D77}">
  <dimension ref="B4:AK54"/>
  <sheetViews>
    <sheetView topLeftCell="A6" zoomScale="20" zoomScaleNormal="20" zoomScaleSheetLayoutView="20" workbookViewId="0">
      <selection activeCell="B10" sqref="B10:D11"/>
    </sheetView>
  </sheetViews>
  <sheetFormatPr defaultColWidth="5.77734375" defaultRowHeight="15" customHeight="1"/>
  <cols>
    <col min="1" max="1" width="5.77734375" style="3" customWidth="1"/>
    <col min="2" max="2" width="22.6640625" style="3" customWidth="1"/>
    <col min="3" max="3" width="183.6640625" style="3" customWidth="1"/>
    <col min="4" max="4" width="29.21875" style="3" customWidth="1"/>
    <col min="5" max="8" width="54.109375" style="3" customWidth="1"/>
    <col min="9" max="16" width="49.77734375" style="3" hidden="1" customWidth="1"/>
    <col min="17" max="17" width="49.77734375" style="3" customWidth="1"/>
    <col min="18" max="18" width="49.77734375" style="31" customWidth="1"/>
    <col min="19" max="19" width="27.33203125" style="3" customWidth="1"/>
    <col min="20" max="20" width="27.33203125" style="103" customWidth="1"/>
    <col min="21" max="21" width="9.44140625" style="52" customWidth="1"/>
    <col min="22" max="25" width="35.88671875" style="52" customWidth="1"/>
    <col min="26" max="26" width="35.88671875" style="3" customWidth="1"/>
    <col min="27" max="36" width="5.77734375" style="3"/>
    <col min="37" max="37" width="10.109375" style="3" bestFit="1" customWidth="1"/>
    <col min="38" max="16384" width="5.77734375" style="3"/>
  </cols>
  <sheetData>
    <row r="4" spans="2:37" ht="31.95" customHeight="1">
      <c r="B4" s="27"/>
      <c r="C4" s="26"/>
      <c r="D4" s="26"/>
      <c r="E4" s="26"/>
      <c r="F4" s="26"/>
      <c r="G4" s="26"/>
      <c r="H4" s="26"/>
      <c r="I4" s="28"/>
      <c r="J4" s="28"/>
      <c r="K4" s="38"/>
      <c r="L4" s="238"/>
      <c r="M4" s="238"/>
      <c r="N4" s="42"/>
      <c r="O4" s="42"/>
      <c r="P4" s="42"/>
      <c r="Q4" s="33"/>
    </row>
    <row r="5" spans="2:37" ht="15" customHeight="1">
      <c r="K5" s="38"/>
      <c r="L5" s="38"/>
      <c r="M5" s="38"/>
    </row>
    <row r="6" spans="2:37" ht="15" customHeight="1">
      <c r="K6" s="38"/>
      <c r="L6" s="38"/>
      <c r="M6" s="38"/>
    </row>
    <row r="7" spans="2:37" ht="15" customHeight="1">
      <c r="K7" s="38"/>
      <c r="L7" s="38"/>
      <c r="M7" s="38"/>
    </row>
    <row r="9" spans="2:37" ht="15" customHeight="1" thickBot="1"/>
    <row r="10" spans="2:37" ht="71.400000000000006" customHeight="1" thickBot="1">
      <c r="B10" s="327" t="s">
        <v>136</v>
      </c>
      <c r="C10" s="327"/>
      <c r="D10" s="327"/>
      <c r="E10" s="329" t="s">
        <v>135</v>
      </c>
      <c r="F10" s="330"/>
      <c r="G10" s="330"/>
      <c r="H10" s="330"/>
      <c r="I10" s="330"/>
      <c r="J10" s="330"/>
      <c r="K10" s="330"/>
      <c r="L10" s="330"/>
      <c r="M10" s="330"/>
      <c r="N10" s="330"/>
      <c r="O10" s="330"/>
      <c r="P10" s="330"/>
      <c r="Q10" s="330"/>
      <c r="R10" s="331"/>
      <c r="U10" s="3"/>
      <c r="Z10" s="52"/>
      <c r="AA10" s="30"/>
    </row>
    <row r="11" spans="2:37" ht="3" hidden="1" customHeight="1" thickBot="1">
      <c r="B11" s="328"/>
      <c r="C11" s="328"/>
      <c r="D11" s="328"/>
      <c r="E11" s="332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4"/>
      <c r="S11" s="53"/>
      <c r="T11" s="104"/>
      <c r="U11" s="29"/>
      <c r="W11" s="231"/>
      <c r="X11" s="232"/>
      <c r="Y11" s="232"/>
      <c r="Z11" s="232"/>
      <c r="AA11" s="233"/>
    </row>
    <row r="12" spans="2:37" ht="72.75" customHeight="1" thickBot="1">
      <c r="B12" s="286" t="s">
        <v>90</v>
      </c>
      <c r="C12" s="287"/>
      <c r="D12" s="292" t="s">
        <v>39</v>
      </c>
      <c r="E12" s="295" t="s">
        <v>98</v>
      </c>
      <c r="F12" s="296"/>
      <c r="G12" s="297" t="s">
        <v>99</v>
      </c>
      <c r="H12" s="298"/>
      <c r="I12" s="277" t="s">
        <v>100</v>
      </c>
      <c r="J12" s="278"/>
      <c r="K12" s="262" t="s">
        <v>101</v>
      </c>
      <c r="L12" s="263"/>
      <c r="M12" s="264"/>
      <c r="N12" s="272" t="s">
        <v>102</v>
      </c>
      <c r="O12" s="273"/>
      <c r="P12" s="115"/>
      <c r="Q12" s="279" t="s">
        <v>68</v>
      </c>
      <c r="R12" s="280"/>
      <c r="S12" s="283" t="s">
        <v>78</v>
      </c>
      <c r="T12" s="299" t="s">
        <v>79</v>
      </c>
      <c r="U12" s="3"/>
      <c r="V12" s="341" t="s">
        <v>82</v>
      </c>
      <c r="W12" s="337" t="s">
        <v>83</v>
      </c>
      <c r="X12" s="335" t="s">
        <v>85</v>
      </c>
      <c r="Y12" s="337" t="s">
        <v>84</v>
      </c>
      <c r="Z12" s="339" t="s">
        <v>86</v>
      </c>
    </row>
    <row r="13" spans="2:37" ht="72.75" customHeight="1" thickBot="1">
      <c r="B13" s="288"/>
      <c r="C13" s="289"/>
      <c r="D13" s="293"/>
      <c r="E13" s="295" t="s">
        <v>93</v>
      </c>
      <c r="F13" s="296"/>
      <c r="G13" s="297" t="s">
        <v>94</v>
      </c>
      <c r="H13" s="298"/>
      <c r="I13" s="277" t="s">
        <v>95</v>
      </c>
      <c r="J13" s="278"/>
      <c r="K13" s="262" t="s">
        <v>96</v>
      </c>
      <c r="L13" s="263"/>
      <c r="M13" s="264"/>
      <c r="N13" s="272" t="s">
        <v>97</v>
      </c>
      <c r="O13" s="273"/>
      <c r="P13" s="115"/>
      <c r="Q13" s="281"/>
      <c r="R13" s="282"/>
      <c r="S13" s="284"/>
      <c r="T13" s="300"/>
      <c r="U13" s="3"/>
      <c r="V13" s="342"/>
      <c r="W13" s="338"/>
      <c r="X13" s="336"/>
      <c r="Y13" s="338"/>
      <c r="Z13" s="340"/>
    </row>
    <row r="14" spans="2:37" ht="129" customHeight="1" thickBot="1">
      <c r="B14" s="290"/>
      <c r="C14" s="291"/>
      <c r="D14" s="294"/>
      <c r="E14" s="106" t="s">
        <v>0</v>
      </c>
      <c r="F14" s="107" t="s">
        <v>69</v>
      </c>
      <c r="G14" s="108" t="s">
        <v>0</v>
      </c>
      <c r="H14" s="109" t="s">
        <v>69</v>
      </c>
      <c r="I14" s="110" t="s">
        <v>0</v>
      </c>
      <c r="J14" s="111" t="s">
        <v>69</v>
      </c>
      <c r="K14" s="112" t="s">
        <v>0</v>
      </c>
      <c r="L14" s="113" t="s">
        <v>69</v>
      </c>
      <c r="M14" s="112" t="s">
        <v>25</v>
      </c>
      <c r="N14" s="114" t="s">
        <v>0</v>
      </c>
      <c r="O14" s="114" t="s">
        <v>1</v>
      </c>
      <c r="P14" s="114" t="s">
        <v>25</v>
      </c>
      <c r="Q14" s="36" t="s">
        <v>80</v>
      </c>
      <c r="R14" s="37" t="s">
        <v>70</v>
      </c>
      <c r="S14" s="285"/>
      <c r="T14" s="301"/>
      <c r="U14" s="3"/>
      <c r="V14" s="70"/>
      <c r="W14" s="71"/>
      <c r="X14" s="72"/>
      <c r="Y14" s="71"/>
      <c r="Z14" s="73"/>
      <c r="AK14" s="44">
        <v>32</v>
      </c>
    </row>
    <row r="15" spans="2:37" ht="72.599999999999994" customHeight="1" thickBot="1">
      <c r="B15" s="323">
        <v>1</v>
      </c>
      <c r="C15" s="136" t="s">
        <v>103</v>
      </c>
      <c r="D15" s="325">
        <v>36</v>
      </c>
      <c r="E15" s="120">
        <v>18</v>
      </c>
      <c r="F15" s="121">
        <v>16</v>
      </c>
      <c r="G15" s="121">
        <v>52</v>
      </c>
      <c r="H15" s="121">
        <v>55</v>
      </c>
      <c r="I15" s="121"/>
      <c r="J15" s="121"/>
      <c r="K15" s="121"/>
      <c r="L15" s="121"/>
      <c r="M15" s="121"/>
      <c r="N15" s="121"/>
      <c r="O15" s="122"/>
      <c r="P15" s="122"/>
      <c r="Q15" s="314">
        <f>SUM(E15:P15)</f>
        <v>141</v>
      </c>
      <c r="R15" s="316">
        <v>6</v>
      </c>
      <c r="S15" s="215">
        <v>350</v>
      </c>
      <c r="T15" s="217">
        <f>SUM(S15-Q15)</f>
        <v>209</v>
      </c>
      <c r="U15" s="3"/>
      <c r="V15" s="74">
        <f>SUM(E15,F15)</f>
        <v>34</v>
      </c>
      <c r="W15" s="75">
        <f>SUM(G15,H15)</f>
        <v>107</v>
      </c>
      <c r="X15" s="76">
        <f>SUM(I15,J15)</f>
        <v>0</v>
      </c>
      <c r="Y15" s="75">
        <f>SUM(K15,L15,M15,)</f>
        <v>0</v>
      </c>
      <c r="Z15" s="77">
        <f>SUM(N15,O15,P15)</f>
        <v>0</v>
      </c>
      <c r="AK15" s="45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ht="72.599999999999994" customHeight="1" thickBot="1">
      <c r="B16" s="324"/>
      <c r="C16" s="137" t="s">
        <v>106</v>
      </c>
      <c r="D16" s="326"/>
      <c r="E16" s="123" t="str">
        <f t="shared" ref="E16:P16" si="1">IF(E15=0, "", IF(MOD(E15, $D$15) = 0, E15 / $D$15, IF(INT(E15 / $D$15) = 0, MOD(E15, $D$15) &amp; " P", INT(E15 / $D$15) &amp; " + " &amp; MOD(E15, $D$15) &amp; " P")))</f>
        <v>18 P</v>
      </c>
      <c r="F16" s="123" t="str">
        <f t="shared" si="1"/>
        <v>16 P</v>
      </c>
      <c r="G16" s="123" t="str">
        <f t="shared" si="1"/>
        <v>1 + 16 P</v>
      </c>
      <c r="H16" s="123" t="str">
        <f t="shared" si="1"/>
        <v>1 + 19 P</v>
      </c>
      <c r="I16" s="123" t="str">
        <f t="shared" si="1"/>
        <v/>
      </c>
      <c r="J16" s="123" t="str">
        <f t="shared" si="1"/>
        <v/>
      </c>
      <c r="K16" s="123" t="str">
        <f t="shared" si="1"/>
        <v/>
      </c>
      <c r="L16" s="123" t="str">
        <f t="shared" si="1"/>
        <v/>
      </c>
      <c r="M16" s="123" t="str">
        <f t="shared" si="1"/>
        <v/>
      </c>
      <c r="N16" s="123" t="str">
        <f t="shared" si="1"/>
        <v/>
      </c>
      <c r="O16" s="123" t="str">
        <f t="shared" si="1"/>
        <v/>
      </c>
      <c r="P16" s="123" t="str">
        <f t="shared" si="1"/>
        <v/>
      </c>
      <c r="Q16" s="315"/>
      <c r="R16" s="317"/>
      <c r="S16" s="216"/>
      <c r="T16" s="218"/>
      <c r="U16" s="3"/>
      <c r="V16" s="78"/>
      <c r="W16" s="79"/>
      <c r="X16" s="80"/>
      <c r="Y16" s="75"/>
      <c r="Z16" s="81"/>
      <c r="AK16" s="49">
        <v>129</v>
      </c>
    </row>
    <row r="17" spans="2:37" ht="72.599999999999994" customHeight="1" thickBot="1">
      <c r="B17" s="323">
        <v>2</v>
      </c>
      <c r="C17" s="138" t="s">
        <v>61</v>
      </c>
      <c r="D17" s="321">
        <v>32</v>
      </c>
      <c r="E17" s="120">
        <v>35</v>
      </c>
      <c r="F17" s="121">
        <v>34</v>
      </c>
      <c r="G17" s="121">
        <v>139</v>
      </c>
      <c r="H17" s="121">
        <v>90</v>
      </c>
      <c r="I17" s="124"/>
      <c r="J17" s="124"/>
      <c r="K17" s="124"/>
      <c r="L17" s="121"/>
      <c r="M17" s="121"/>
      <c r="N17" s="121"/>
      <c r="O17" s="122"/>
      <c r="P17" s="122"/>
      <c r="Q17" s="314">
        <f>SUM(E17:P17)</f>
        <v>298</v>
      </c>
      <c r="R17" s="316">
        <v>12</v>
      </c>
      <c r="S17" s="215">
        <v>790</v>
      </c>
      <c r="T17" s="217">
        <f>SUM(S17-Q17)</f>
        <v>492</v>
      </c>
      <c r="U17" s="3"/>
      <c r="V17" s="74">
        <f>SUM(E17,F17)</f>
        <v>69</v>
      </c>
      <c r="W17" s="79">
        <f>SUM(G17,H17)</f>
        <v>229</v>
      </c>
      <c r="X17" s="80">
        <f>SUM(I17,J17)</f>
        <v>0</v>
      </c>
      <c r="Y17" s="75">
        <f>SUM(K17,L17,M17,)</f>
        <v>0</v>
      </c>
      <c r="Z17" s="77">
        <f>SUM(N17,O17,P17)</f>
        <v>0</v>
      </c>
      <c r="AK17" s="50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ht="72.599999999999994" customHeight="1" thickBot="1">
      <c r="B18" s="324"/>
      <c r="C18" s="139" t="s">
        <v>110</v>
      </c>
      <c r="D18" s="322"/>
      <c r="E18" s="123" t="str">
        <f t="shared" ref="E18:P18" si="3">IF(E17=0, "", IF(MOD(E17, $D$17) = 0, E17 / $D$17, IF(INT(E17 / $D$17) = 0, MOD(E17, $D$17) &amp; " P", INT(E17 / $D$17) &amp; " + " &amp; MOD(E17, $D$17) &amp; " P")))</f>
        <v>1 + 3 P</v>
      </c>
      <c r="F18" s="123" t="str">
        <f t="shared" si="3"/>
        <v>1 + 2 P</v>
      </c>
      <c r="G18" s="123" t="str">
        <f t="shared" si="3"/>
        <v>4 + 11 P</v>
      </c>
      <c r="H18" s="123" t="str">
        <f t="shared" si="3"/>
        <v>2 + 26 P</v>
      </c>
      <c r="I18" s="123" t="str">
        <f t="shared" si="3"/>
        <v/>
      </c>
      <c r="J18" s="123" t="str">
        <f>IF(J17=0, "", IF(MOD(J17, $D$17) = 0, J17 / $D$17, IF(INT(J17 / $D$17) = 0, MOD(J17, $D$17) &amp; " P", INT(J17 / $D$17) &amp; " + " &amp; MOD(J17, $D$17) &amp; " P")))</f>
        <v/>
      </c>
      <c r="K18" s="123" t="str">
        <f t="shared" si="3"/>
        <v/>
      </c>
      <c r="L18" s="123" t="str">
        <f t="shared" si="3"/>
        <v/>
      </c>
      <c r="M18" s="123" t="str">
        <f t="shared" si="3"/>
        <v/>
      </c>
      <c r="N18" s="123" t="str">
        <f t="shared" si="3"/>
        <v/>
      </c>
      <c r="O18" s="123" t="str">
        <f t="shared" si="3"/>
        <v/>
      </c>
      <c r="P18" s="123" t="str">
        <f t="shared" si="3"/>
        <v/>
      </c>
      <c r="Q18" s="315"/>
      <c r="R18" s="317"/>
      <c r="S18" s="216"/>
      <c r="T18" s="218"/>
      <c r="U18" s="3"/>
      <c r="V18" s="78"/>
      <c r="W18" s="79"/>
      <c r="X18" s="80"/>
      <c r="Y18" s="75"/>
      <c r="Z18" s="81"/>
      <c r="AK18" s="51">
        <v>54</v>
      </c>
    </row>
    <row r="19" spans="2:37" ht="72.599999999999994" customHeight="1" thickBot="1">
      <c r="B19" s="323">
        <v>3</v>
      </c>
      <c r="C19" s="138" t="s">
        <v>127</v>
      </c>
      <c r="D19" s="321">
        <v>36</v>
      </c>
      <c r="E19" s="125">
        <v>3</v>
      </c>
      <c r="F19" s="126">
        <v>8</v>
      </c>
      <c r="G19" s="126">
        <v>42</v>
      </c>
      <c r="H19" s="126">
        <v>20</v>
      </c>
      <c r="I19" s="127"/>
      <c r="J19" s="127"/>
      <c r="K19" s="127"/>
      <c r="L19" s="126"/>
      <c r="M19" s="126"/>
      <c r="N19" s="126"/>
      <c r="O19" s="128"/>
      <c r="P19" s="128"/>
      <c r="Q19" s="314">
        <f>SUM(E19:P19)</f>
        <v>73</v>
      </c>
      <c r="R19" s="316">
        <v>5</v>
      </c>
      <c r="S19" s="215">
        <v>240</v>
      </c>
      <c r="T19" s="217">
        <f>SUM(S19-Q19)</f>
        <v>167</v>
      </c>
      <c r="U19" s="3"/>
      <c r="V19" s="78">
        <f>SUM(E19,F19)</f>
        <v>11</v>
      </c>
      <c r="W19" s="79">
        <f>SUM(G19,H19)</f>
        <v>62</v>
      </c>
      <c r="X19" s="80">
        <f>SUM(I19,J19)</f>
        <v>0</v>
      </c>
      <c r="Y19" s="75">
        <f>SUM(K19,L19,M19,)</f>
        <v>0</v>
      </c>
      <c r="Z19" s="77">
        <f>SUM(N19,O19,P19)</f>
        <v>0</v>
      </c>
      <c r="AK19" s="50" t="str">
        <f t="shared" ref="AK19" si="4">IF(AK18=0, "", IF(MOD(AK18, $D$19) = 0, AK18/ $D$19, IF(INT(AK18 / $D$19) = 0, MOD(AK18, $D$19) &amp; " P", INT(AK18 / $D$19) &amp; " + " &amp; MOD(AK18, $D$19) &amp; " P")))</f>
        <v>1 + 18 P</v>
      </c>
    </row>
    <row r="20" spans="2:37" ht="72" customHeight="1" thickBot="1">
      <c r="B20" s="324"/>
      <c r="C20" s="140" t="s">
        <v>128</v>
      </c>
      <c r="D20" s="322"/>
      <c r="E20" s="123" t="str">
        <f t="shared" ref="E20:P20" si="5">IF(E19=0, "", IF(MOD(E19, $D$19) = 0, E19/ $D$19, IF(INT(E19 / $D$19) = 0, MOD(E19, $D$19) &amp; " P", INT(E19 / $D$19) &amp; " + " &amp; MOD(E19, $D$19) &amp; " P")))</f>
        <v>3 P</v>
      </c>
      <c r="F20" s="123" t="str">
        <f t="shared" si="5"/>
        <v>8 P</v>
      </c>
      <c r="G20" s="123" t="str">
        <f t="shared" si="5"/>
        <v>1 + 6 P</v>
      </c>
      <c r="H20" s="123" t="str">
        <f t="shared" si="5"/>
        <v>20 P</v>
      </c>
      <c r="I20" s="123" t="str">
        <f t="shared" si="5"/>
        <v/>
      </c>
      <c r="J20" s="123" t="str">
        <f t="shared" si="5"/>
        <v/>
      </c>
      <c r="K20" s="123" t="str">
        <f t="shared" si="5"/>
        <v/>
      </c>
      <c r="L20" s="123" t="str">
        <f t="shared" si="5"/>
        <v/>
      </c>
      <c r="M20" s="123" t="str">
        <f t="shared" si="5"/>
        <v/>
      </c>
      <c r="N20" s="123" t="str">
        <f t="shared" si="5"/>
        <v/>
      </c>
      <c r="O20" s="123" t="str">
        <f t="shared" si="5"/>
        <v/>
      </c>
      <c r="P20" s="123" t="str">
        <f t="shared" si="5"/>
        <v/>
      </c>
      <c r="Q20" s="315"/>
      <c r="R20" s="317"/>
      <c r="S20" s="216"/>
      <c r="T20" s="218"/>
      <c r="U20" s="3"/>
      <c r="V20" s="78"/>
      <c r="W20" s="79"/>
      <c r="X20" s="80"/>
      <c r="Y20" s="75"/>
      <c r="Z20" s="81"/>
      <c r="AK20" s="49">
        <v>12</v>
      </c>
    </row>
    <row r="21" spans="2:37" ht="72.599999999999994" customHeight="1" thickBot="1">
      <c r="B21" s="323">
        <v>4</v>
      </c>
      <c r="C21" s="138" t="s">
        <v>62</v>
      </c>
      <c r="D21" s="321">
        <v>32</v>
      </c>
      <c r="E21" s="120">
        <v>131</v>
      </c>
      <c r="F21" s="121">
        <v>156</v>
      </c>
      <c r="G21" s="121">
        <v>203</v>
      </c>
      <c r="H21" s="121">
        <v>209</v>
      </c>
      <c r="I21" s="124"/>
      <c r="J21" s="124"/>
      <c r="K21" s="124"/>
      <c r="L21" s="121"/>
      <c r="M21" s="121"/>
      <c r="N21" s="121"/>
      <c r="O21" s="122"/>
      <c r="P21" s="122"/>
      <c r="Q21" s="314">
        <f>SUM(E21:P21)</f>
        <v>699</v>
      </c>
      <c r="R21" s="316">
        <v>24</v>
      </c>
      <c r="S21" s="215">
        <v>1272</v>
      </c>
      <c r="T21" s="217">
        <f>SUM(S21-Q21)</f>
        <v>573</v>
      </c>
      <c r="U21" s="3"/>
      <c r="V21" s="78">
        <f>SUM(E21,F21)</f>
        <v>287</v>
      </c>
      <c r="W21" s="79">
        <f>SUM(G21,H21)</f>
        <v>412</v>
      </c>
      <c r="X21" s="80">
        <f>SUM(I21,J21)</f>
        <v>0</v>
      </c>
      <c r="Y21" s="75">
        <f>SUM(K21,L21,M21,)</f>
        <v>0</v>
      </c>
      <c r="Z21" s="77">
        <f>SUM(N21,O21,P21)</f>
        <v>0</v>
      </c>
      <c r="AK21" s="50" t="str">
        <f t="shared" ref="AK21" si="6">IF(AK20=0, "", IF(MOD(AK20, $D$21) = 0, AK20/ $D$21, IF(INT(AK20 / $D$21) = 0, MOD(AK20, $D$21) &amp; " P", INT(AK20 / $D$21) &amp; " + " &amp; MOD(AK20, $D$21) &amp; " P")))</f>
        <v>12 P</v>
      </c>
    </row>
    <row r="22" spans="2:37" ht="72.599999999999994" customHeight="1" thickBot="1">
      <c r="B22" s="324"/>
      <c r="C22" s="139" t="s">
        <v>111</v>
      </c>
      <c r="D22" s="322"/>
      <c r="E22" s="123" t="str">
        <f t="shared" ref="E22:P22" si="7">IF(E21=0, "", IF(MOD(E21, $D$21) = 0, E21/ $D$21, IF(INT(E21 / $D$21) = 0, MOD(E21, $D$21) &amp; " P", INT(E21 / $D$21) &amp; " + " &amp; MOD(E21, $D$21) &amp; " P")))</f>
        <v>4 + 3 P</v>
      </c>
      <c r="F22" s="123" t="str">
        <f t="shared" si="7"/>
        <v>4 + 28 P</v>
      </c>
      <c r="G22" s="123" t="str">
        <f t="shared" si="7"/>
        <v>6 + 11 P</v>
      </c>
      <c r="H22" s="123" t="str">
        <f t="shared" si="7"/>
        <v>6 + 17 P</v>
      </c>
      <c r="I22" s="123" t="str">
        <f t="shared" si="7"/>
        <v/>
      </c>
      <c r="J22" s="123" t="str">
        <f t="shared" si="7"/>
        <v/>
      </c>
      <c r="K22" s="123" t="str">
        <f t="shared" si="7"/>
        <v/>
      </c>
      <c r="L22" s="123" t="str">
        <f t="shared" si="7"/>
        <v/>
      </c>
      <c r="M22" s="123" t="str">
        <f t="shared" si="7"/>
        <v/>
      </c>
      <c r="N22" s="123" t="str">
        <f t="shared" si="7"/>
        <v/>
      </c>
      <c r="O22" s="123" t="str">
        <f t="shared" si="7"/>
        <v/>
      </c>
      <c r="P22" s="123" t="str">
        <f t="shared" si="7"/>
        <v/>
      </c>
      <c r="Q22" s="315"/>
      <c r="R22" s="317"/>
      <c r="S22" s="216"/>
      <c r="T22" s="218"/>
      <c r="U22" s="3"/>
      <c r="V22" s="78"/>
      <c r="W22" s="79"/>
      <c r="X22" s="80"/>
      <c r="Y22" s="75"/>
      <c r="Z22" s="81"/>
      <c r="AK22" s="47">
        <v>227</v>
      </c>
    </row>
    <row r="23" spans="2:37" ht="72.599999999999994" customHeight="1" thickBot="1">
      <c r="B23" s="118">
        <v>5</v>
      </c>
      <c r="C23" s="141" t="s">
        <v>108</v>
      </c>
      <c r="D23" s="321">
        <v>18</v>
      </c>
      <c r="E23" s="129">
        <v>3</v>
      </c>
      <c r="F23" s="130">
        <v>0</v>
      </c>
      <c r="G23" s="130">
        <v>24</v>
      </c>
      <c r="H23" s="130">
        <v>7</v>
      </c>
      <c r="I23" s="131"/>
      <c r="J23" s="131"/>
      <c r="K23" s="131"/>
      <c r="L23" s="130"/>
      <c r="M23" s="130"/>
      <c r="N23" s="130"/>
      <c r="O23" s="132"/>
      <c r="P23" s="132"/>
      <c r="Q23" s="314">
        <f>SUM(E23:P23)</f>
        <v>34</v>
      </c>
      <c r="R23" s="316">
        <v>4</v>
      </c>
      <c r="S23" s="215">
        <v>100</v>
      </c>
      <c r="T23" s="217">
        <f>SUM(S23-Q23)</f>
        <v>66</v>
      </c>
      <c r="U23" s="3"/>
      <c r="V23" s="78">
        <f>SUM(E23,F23)</f>
        <v>3</v>
      </c>
      <c r="W23" s="79">
        <f>SUM(G23,H23)</f>
        <v>31</v>
      </c>
      <c r="X23" s="80">
        <f>SUM(I23,J23)</f>
        <v>0</v>
      </c>
      <c r="Y23" s="75">
        <f>SUM(K23,L23,M23,)</f>
        <v>0</v>
      </c>
      <c r="Z23" s="77">
        <f>SUM(N23,O23,P23)</f>
        <v>0</v>
      </c>
      <c r="AK23" s="48" t="str">
        <f t="shared" ref="AK23" si="8">IF(AK22=0, "", IF(MOD(AK22, $D$23) = 0, AK22/ $D$23, IF(INT(AK22 / $D$23) = 0, MOD(AK22, $D$23) &amp; " P", INT(AK22 / $D$23) &amp; " + " &amp; MOD(AK22, $D$23) &amp; " P")))</f>
        <v>12 + 11 P</v>
      </c>
    </row>
    <row r="24" spans="2:37" ht="72.599999999999994" customHeight="1" thickBot="1">
      <c r="B24" s="119"/>
      <c r="C24" s="139" t="s">
        <v>112</v>
      </c>
      <c r="D24" s="322"/>
      <c r="E24" s="133" t="str">
        <f t="shared" ref="E24:P24" si="9">IF(E23=0, "", IF(MOD(E23, $D$23) = 0, E23/ $D$23, IF(INT(E23 / $D$23) = 0, MOD(E23, $D$23) &amp; " P", INT(E23 / $D$23) &amp; " + " &amp; MOD(E23, $D$23) &amp; " P")))</f>
        <v>3 P</v>
      </c>
      <c r="F24" s="133" t="str">
        <f t="shared" si="9"/>
        <v/>
      </c>
      <c r="G24" s="133" t="str">
        <f t="shared" si="9"/>
        <v>1 + 6 P</v>
      </c>
      <c r="H24" s="133" t="str">
        <f t="shared" si="9"/>
        <v>7 P</v>
      </c>
      <c r="I24" s="133" t="str">
        <f t="shared" si="9"/>
        <v/>
      </c>
      <c r="J24" s="133" t="str">
        <f t="shared" si="9"/>
        <v/>
      </c>
      <c r="K24" s="133" t="str">
        <f t="shared" si="9"/>
        <v/>
      </c>
      <c r="L24" s="133" t="str">
        <f t="shared" si="9"/>
        <v/>
      </c>
      <c r="M24" s="133" t="str">
        <f t="shared" si="9"/>
        <v/>
      </c>
      <c r="N24" s="133" t="str">
        <f t="shared" si="9"/>
        <v/>
      </c>
      <c r="O24" s="133" t="str">
        <f t="shared" si="9"/>
        <v/>
      </c>
      <c r="P24" s="133" t="str">
        <f t="shared" si="9"/>
        <v/>
      </c>
      <c r="Q24" s="315"/>
      <c r="R24" s="317"/>
      <c r="S24" s="216"/>
      <c r="T24" s="218"/>
      <c r="U24" s="3"/>
      <c r="V24" s="78"/>
      <c r="W24" s="79"/>
      <c r="X24" s="80"/>
      <c r="Y24" s="75"/>
      <c r="Z24" s="81"/>
      <c r="AK24" s="49">
        <v>25</v>
      </c>
    </row>
    <row r="25" spans="2:37" ht="72.599999999999994" customHeight="1" thickBot="1">
      <c r="B25" s="118">
        <v>6</v>
      </c>
      <c r="C25" s="142" t="s">
        <v>63</v>
      </c>
      <c r="D25" s="312">
        <v>36</v>
      </c>
      <c r="E25" s="120">
        <v>10</v>
      </c>
      <c r="F25" s="121">
        <v>8</v>
      </c>
      <c r="G25" s="121">
        <v>123</v>
      </c>
      <c r="H25" s="121">
        <v>51</v>
      </c>
      <c r="I25" s="124"/>
      <c r="J25" s="124"/>
      <c r="K25" s="124"/>
      <c r="L25" s="121"/>
      <c r="M25" s="121"/>
      <c r="N25" s="121"/>
      <c r="O25" s="122"/>
      <c r="P25" s="122"/>
      <c r="Q25" s="314">
        <f>SUM(E25:P25)</f>
        <v>192</v>
      </c>
      <c r="R25" s="316">
        <v>8</v>
      </c>
      <c r="S25" s="215">
        <v>650</v>
      </c>
      <c r="T25" s="217">
        <f>SUM(S25-Q25)</f>
        <v>458</v>
      </c>
      <c r="U25" s="3"/>
      <c r="V25" s="78">
        <f>SUM(E25,F25)</f>
        <v>18</v>
      </c>
      <c r="W25" s="79">
        <f>SUM(G25,H25)</f>
        <v>174</v>
      </c>
      <c r="X25" s="80">
        <f>SUM(I25,J25)</f>
        <v>0</v>
      </c>
      <c r="Y25" s="75">
        <f>SUM(K25,L25,M25,)</f>
        <v>0</v>
      </c>
      <c r="Z25" s="77">
        <f>SUM(N25,O25,P25)</f>
        <v>0</v>
      </c>
      <c r="AK25" s="50" t="str">
        <f t="shared" ref="AK25" si="10">IF(AK24=0, "", IF(MOD(AK24, $D$25) = 0, AK24/ $D$25, IF(INT(AK24 / $D$25) = 0, MOD(AK24, $D$25) &amp; " P", INT(AK24 / $D$25) &amp; " + " &amp; MOD(AK24, $D$25) &amp; " P")))</f>
        <v>25 P</v>
      </c>
    </row>
    <row r="26" spans="2:37" ht="72.599999999999994" customHeight="1" thickBot="1">
      <c r="B26" s="119"/>
      <c r="C26" s="139" t="s">
        <v>113</v>
      </c>
      <c r="D26" s="313"/>
      <c r="E26" s="123" t="str">
        <f t="shared" ref="E26:P26" si="11">IF(E25=0, "", IF(MOD(E25, $D$25) = 0, E25/ $D$25, IF(INT(E25 / $D$25) = 0, MOD(E25, $D$25) &amp; " P", INT(E25 / $D$25) &amp; " + " &amp; MOD(E25, $D$25) &amp; " P")))</f>
        <v>10 P</v>
      </c>
      <c r="F26" s="123" t="str">
        <f t="shared" si="11"/>
        <v>8 P</v>
      </c>
      <c r="G26" s="123" t="str">
        <f t="shared" si="11"/>
        <v>3 + 15 P</v>
      </c>
      <c r="H26" s="123" t="str">
        <f t="shared" si="11"/>
        <v>1 + 15 P</v>
      </c>
      <c r="I26" s="123" t="str">
        <f t="shared" si="11"/>
        <v/>
      </c>
      <c r="J26" s="123" t="str">
        <f t="shared" si="11"/>
        <v/>
      </c>
      <c r="K26" s="123" t="str">
        <f t="shared" si="11"/>
        <v/>
      </c>
      <c r="L26" s="123" t="str">
        <f t="shared" si="11"/>
        <v/>
      </c>
      <c r="M26" s="123" t="str">
        <f t="shared" si="11"/>
        <v/>
      </c>
      <c r="N26" s="123" t="str">
        <f t="shared" si="11"/>
        <v/>
      </c>
      <c r="O26" s="123" t="str">
        <f t="shared" si="11"/>
        <v/>
      </c>
      <c r="P26" s="123" t="str">
        <f t="shared" si="11"/>
        <v/>
      </c>
      <c r="Q26" s="315"/>
      <c r="R26" s="317"/>
      <c r="S26" s="216"/>
      <c r="T26" s="218"/>
      <c r="U26" s="3"/>
      <c r="V26" s="78"/>
      <c r="W26" s="79"/>
      <c r="X26" s="80"/>
      <c r="Y26" s="75"/>
      <c r="Z26" s="81"/>
      <c r="AK26" s="49">
        <v>2</v>
      </c>
    </row>
    <row r="27" spans="2:37" ht="72.599999999999994" customHeight="1" thickBot="1">
      <c r="B27" s="118">
        <v>7</v>
      </c>
      <c r="C27" s="138" t="s">
        <v>104</v>
      </c>
      <c r="D27" s="312">
        <v>20</v>
      </c>
      <c r="E27" s="120">
        <v>7</v>
      </c>
      <c r="F27" s="121">
        <v>5</v>
      </c>
      <c r="G27" s="121">
        <v>22</v>
      </c>
      <c r="H27" s="121">
        <v>15</v>
      </c>
      <c r="I27" s="124"/>
      <c r="J27" s="124"/>
      <c r="K27" s="124"/>
      <c r="L27" s="121"/>
      <c r="M27" s="121"/>
      <c r="N27" s="121"/>
      <c r="O27" s="122"/>
      <c r="P27" s="122"/>
      <c r="Q27" s="314">
        <f>SUM(E27:P27)</f>
        <v>49</v>
      </c>
      <c r="R27" s="316">
        <v>5</v>
      </c>
      <c r="S27" s="215">
        <v>140</v>
      </c>
      <c r="T27" s="217">
        <f>SUM(S27-Q27)</f>
        <v>91</v>
      </c>
      <c r="U27" s="3"/>
      <c r="V27" s="74">
        <f>SUM(E27,F27)</f>
        <v>12</v>
      </c>
      <c r="W27" s="79">
        <f>SUM(G27,H27)</f>
        <v>37</v>
      </c>
      <c r="X27" s="80">
        <f>SUM(I27,J27)</f>
        <v>0</v>
      </c>
      <c r="Y27" s="75">
        <f>SUM(K27,L27,M27,)</f>
        <v>0</v>
      </c>
      <c r="Z27" s="77">
        <f>SUM(N27,O27,P27)</f>
        <v>0</v>
      </c>
      <c r="AK27" s="50" t="str">
        <f t="shared" ref="AK27" si="12">IF(AK26=0, "", IF(MOD(AK26, $D$27) = 0, AK26/ $D$27, IF(INT(AK26 / $D$27) = 0, MOD(AK26, $D$27) &amp; " P", INT(AK26 / $D$27) &amp; " + " &amp; MOD(AK26, $D$27) &amp; " P")))</f>
        <v>2 P</v>
      </c>
    </row>
    <row r="28" spans="2:37" ht="72.599999999999994" customHeight="1" thickBot="1">
      <c r="B28" s="119"/>
      <c r="C28" s="140" t="s">
        <v>107</v>
      </c>
      <c r="D28" s="313"/>
      <c r="E28" s="123" t="str">
        <f t="shared" ref="E28:P28" si="13">IF(E27=0, "", IF(MOD(E27, $D$27) = 0, E27/ $D$27, IF(INT(E27 / $D$27) = 0, MOD(E27, $D$27) &amp; " P", INT(E27 / $D$27) &amp; " + " &amp; MOD(E27, $D$27) &amp; " P")))</f>
        <v>7 P</v>
      </c>
      <c r="F28" s="123" t="str">
        <f t="shared" si="13"/>
        <v>5 P</v>
      </c>
      <c r="G28" s="123" t="str">
        <f t="shared" si="13"/>
        <v>1 + 2 P</v>
      </c>
      <c r="H28" s="123" t="str">
        <f t="shared" si="13"/>
        <v>15 P</v>
      </c>
      <c r="I28" s="123" t="str">
        <f t="shared" si="13"/>
        <v/>
      </c>
      <c r="J28" s="123" t="str">
        <f t="shared" si="13"/>
        <v/>
      </c>
      <c r="K28" s="123" t="str">
        <f t="shared" si="13"/>
        <v/>
      </c>
      <c r="L28" s="123" t="str">
        <f t="shared" si="13"/>
        <v/>
      </c>
      <c r="M28" s="123" t="str">
        <f t="shared" si="13"/>
        <v/>
      </c>
      <c r="N28" s="123" t="str">
        <f t="shared" si="13"/>
        <v/>
      </c>
      <c r="O28" s="123" t="str">
        <f t="shared" si="13"/>
        <v/>
      </c>
      <c r="P28" s="123" t="str">
        <f t="shared" si="13"/>
        <v/>
      </c>
      <c r="Q28" s="315"/>
      <c r="R28" s="317"/>
      <c r="S28" s="216"/>
      <c r="T28" s="218"/>
      <c r="U28" s="3"/>
      <c r="V28" s="74"/>
      <c r="W28" s="79"/>
      <c r="X28" s="80"/>
      <c r="Y28" s="75"/>
      <c r="Z28" s="81"/>
      <c r="AK28" s="51">
        <v>74</v>
      </c>
    </row>
    <row r="29" spans="2:37" ht="72.599999999999994" customHeight="1" thickBot="1">
      <c r="B29" s="118">
        <v>8</v>
      </c>
      <c r="C29" s="142" t="s">
        <v>129</v>
      </c>
      <c r="D29" s="312">
        <v>15</v>
      </c>
      <c r="E29" s="125">
        <v>10</v>
      </c>
      <c r="F29" s="126">
        <v>19</v>
      </c>
      <c r="G29" s="126">
        <v>39</v>
      </c>
      <c r="H29" s="126">
        <v>26</v>
      </c>
      <c r="I29" s="127"/>
      <c r="J29" s="127"/>
      <c r="K29" s="127"/>
      <c r="L29" s="126"/>
      <c r="M29" s="126"/>
      <c r="N29" s="126"/>
      <c r="O29" s="128"/>
      <c r="P29" s="128"/>
      <c r="Q29" s="314">
        <f>SUM(E29:P29)</f>
        <v>94</v>
      </c>
      <c r="R29" s="316">
        <v>8</v>
      </c>
      <c r="S29" s="215">
        <v>240</v>
      </c>
      <c r="T29" s="217">
        <f>SUM(S29-Q29)</f>
        <v>146</v>
      </c>
      <c r="U29" s="3"/>
      <c r="V29" s="74">
        <f>SUM(E29,F29)</f>
        <v>29</v>
      </c>
      <c r="W29" s="75">
        <f>SUM(G29,H29)</f>
        <v>65</v>
      </c>
      <c r="X29" s="76">
        <f>SUM(I29,J29)</f>
        <v>0</v>
      </c>
      <c r="Y29" s="75">
        <f>SUM(K29,L29,M29,)</f>
        <v>0</v>
      </c>
      <c r="Z29" s="77">
        <f>SUM(N29,O29,P29)</f>
        <v>0</v>
      </c>
      <c r="AK29" s="45" t="str">
        <f>IF(AK28=0, "", IF(MOD(AK28, $D$29) = 0, AK28/ $D$29, IF(INT(AK28 / $D$29) = 0, MOD(AK28, $D$29) &amp; " P", INT(AK28 / $D$29) &amp; " + " &amp; MOD(AK28, $D$29) &amp; " P")))</f>
        <v>4 + 14 P</v>
      </c>
    </row>
    <row r="30" spans="2:37" ht="72.599999999999994" customHeight="1" thickBot="1">
      <c r="B30" s="119"/>
      <c r="C30" s="139" t="s">
        <v>130</v>
      </c>
      <c r="D30" s="313"/>
      <c r="E30" s="123" t="str">
        <f t="shared" ref="E30:P30" si="14">IF(E29=0, "", IF(MOD(E29, $D$29) = 0, E29/ $D$29, IF(INT(E29 / $D$29) = 0, MOD(E29, $D$29) &amp; " P", INT(E29 / $D$29) &amp; " + " &amp; MOD(E29, $D$29) &amp; " P")))</f>
        <v>10 P</v>
      </c>
      <c r="F30" s="123" t="str">
        <f t="shared" si="14"/>
        <v>1 + 4 P</v>
      </c>
      <c r="G30" s="123" t="str">
        <f t="shared" si="14"/>
        <v>2 + 9 P</v>
      </c>
      <c r="H30" s="123" t="str">
        <f t="shared" si="14"/>
        <v>1 + 11 P</v>
      </c>
      <c r="I30" s="123" t="str">
        <f t="shared" si="14"/>
        <v/>
      </c>
      <c r="J30" s="123" t="str">
        <f t="shared" si="14"/>
        <v/>
      </c>
      <c r="K30" s="123" t="str">
        <f t="shared" si="14"/>
        <v/>
      </c>
      <c r="L30" s="123" t="str">
        <f t="shared" si="14"/>
        <v/>
      </c>
      <c r="M30" s="123" t="str">
        <f t="shared" si="14"/>
        <v/>
      </c>
      <c r="N30" s="123" t="str">
        <f t="shared" si="14"/>
        <v/>
      </c>
      <c r="O30" s="123" t="str">
        <f t="shared" si="14"/>
        <v/>
      </c>
      <c r="P30" s="123" t="str">
        <f t="shared" si="14"/>
        <v/>
      </c>
      <c r="Q30" s="315"/>
      <c r="R30" s="317"/>
      <c r="S30" s="216"/>
      <c r="T30" s="218"/>
      <c r="U30" s="3"/>
      <c r="V30" s="74"/>
      <c r="W30" s="79"/>
      <c r="X30" s="80"/>
      <c r="Y30" s="75"/>
      <c r="Z30" s="81"/>
      <c r="AK30" s="46">
        <v>34</v>
      </c>
    </row>
    <row r="31" spans="2:37" ht="72.599999999999994" customHeight="1" thickBot="1">
      <c r="B31" s="118">
        <v>9</v>
      </c>
      <c r="C31" s="142" t="s">
        <v>64</v>
      </c>
      <c r="D31" s="312">
        <v>45</v>
      </c>
      <c r="E31" s="125">
        <v>1</v>
      </c>
      <c r="F31" s="126">
        <v>0</v>
      </c>
      <c r="G31" s="126">
        <v>7</v>
      </c>
      <c r="H31" s="126">
        <v>1</v>
      </c>
      <c r="I31" s="126"/>
      <c r="J31" s="126"/>
      <c r="K31" s="126"/>
      <c r="L31" s="126"/>
      <c r="M31" s="126"/>
      <c r="N31" s="126"/>
      <c r="O31" s="128"/>
      <c r="P31" s="128"/>
      <c r="Q31" s="314">
        <f>SUM(E31:P31)</f>
        <v>9</v>
      </c>
      <c r="R31" s="320">
        <v>3</v>
      </c>
      <c r="S31" s="215">
        <v>70</v>
      </c>
      <c r="T31" s="217">
        <f>SUM(S31-Q31)</f>
        <v>61</v>
      </c>
      <c r="U31" s="3"/>
      <c r="V31" s="74">
        <f>SUM(E31,F31)</f>
        <v>1</v>
      </c>
      <c r="W31" s="75">
        <f>SUM(G31,H31)</f>
        <v>8</v>
      </c>
      <c r="X31" s="76">
        <f>SUM(I31,J31)</f>
        <v>0</v>
      </c>
      <c r="Y31" s="75">
        <f>SUM(K31,L31,M31,)</f>
        <v>0</v>
      </c>
      <c r="Z31" s="77">
        <f>SUM(N31,O31,P31)</f>
        <v>0</v>
      </c>
      <c r="AK31" s="45" t="str">
        <f t="shared" ref="AK31:AK33" si="15">IF(AK30=0, "", IF(MOD(AK30, $D$31) = 0, AK30/ $D$31, IF(INT(AK30 / $D$31) = 0, MOD(AK30, $D$31) &amp; " P", INT(AK30 / $D$31) &amp; " + " &amp; MOD(AK30, $D$31) &amp; " P")))</f>
        <v>34 P</v>
      </c>
    </row>
    <row r="32" spans="2:37" ht="72.599999999999994" customHeight="1" thickBot="1">
      <c r="B32" s="119"/>
      <c r="C32" s="140" t="s">
        <v>114</v>
      </c>
      <c r="D32" s="313"/>
      <c r="E32" s="123" t="str">
        <f t="shared" ref="E32:P32" si="16">IF(E31=0, "", IF(MOD(E31, $D$31) = 0, E31/ $D$31, IF(INT(E31 / $D$31) = 0, MOD(E31, $D$31) &amp; " P", INT(E31 / $D$31) &amp; " + " &amp; MOD(E31, $D$31) &amp; " P")))</f>
        <v>1 P</v>
      </c>
      <c r="F32" s="123" t="str">
        <f t="shared" si="16"/>
        <v/>
      </c>
      <c r="G32" s="123" t="str">
        <f t="shared" si="16"/>
        <v>7 P</v>
      </c>
      <c r="H32" s="123" t="str">
        <f t="shared" si="16"/>
        <v>1 P</v>
      </c>
      <c r="I32" s="123" t="str">
        <f t="shared" si="16"/>
        <v/>
      </c>
      <c r="J32" s="123" t="str">
        <f t="shared" si="16"/>
        <v/>
      </c>
      <c r="K32" s="123" t="str">
        <f t="shared" si="16"/>
        <v/>
      </c>
      <c r="L32" s="123" t="str">
        <f t="shared" si="16"/>
        <v/>
      </c>
      <c r="M32" s="123" t="str">
        <f t="shared" si="16"/>
        <v/>
      </c>
      <c r="N32" s="123" t="str">
        <f t="shared" si="16"/>
        <v/>
      </c>
      <c r="O32" s="123" t="str">
        <f t="shared" si="16"/>
        <v/>
      </c>
      <c r="P32" s="123" t="str">
        <f t="shared" si="16"/>
        <v/>
      </c>
      <c r="Q32" s="315"/>
      <c r="R32" s="317"/>
      <c r="S32" s="216"/>
      <c r="T32" s="218"/>
      <c r="U32" s="3"/>
      <c r="V32" s="74"/>
      <c r="W32" s="79"/>
      <c r="X32" s="80"/>
      <c r="Y32" s="75"/>
      <c r="Z32" s="81"/>
      <c r="AK32" s="46">
        <v>33</v>
      </c>
    </row>
    <row r="33" spans="2:37" ht="72.599999999999994" customHeight="1" thickBot="1">
      <c r="B33" s="118">
        <v>10</v>
      </c>
      <c r="C33" s="142" t="s">
        <v>133</v>
      </c>
      <c r="D33" s="312">
        <v>15</v>
      </c>
      <c r="E33" s="125">
        <v>23</v>
      </c>
      <c r="F33" s="126">
        <v>25</v>
      </c>
      <c r="G33" s="126">
        <v>33</v>
      </c>
      <c r="H33" s="126">
        <v>53</v>
      </c>
      <c r="I33" s="126"/>
      <c r="J33" s="126"/>
      <c r="K33" s="126"/>
      <c r="L33" s="126"/>
      <c r="M33" s="126"/>
      <c r="N33" s="126"/>
      <c r="O33" s="128"/>
      <c r="P33" s="128"/>
      <c r="Q33" s="314">
        <f>SUM(E33:P33)</f>
        <v>134</v>
      </c>
      <c r="R33" s="320">
        <v>11</v>
      </c>
      <c r="S33" s="215">
        <v>320</v>
      </c>
      <c r="T33" s="217">
        <f t="shared" ref="T33" si="17">SUM(S33-Q33)</f>
        <v>186</v>
      </c>
      <c r="U33" s="3"/>
      <c r="V33" s="74">
        <f>SUM(E33,F33)</f>
        <v>48</v>
      </c>
      <c r="W33" s="75">
        <f>SUM(G33,H33)</f>
        <v>86</v>
      </c>
      <c r="X33" s="76">
        <f>SUM(I33,J33)</f>
        <v>0</v>
      </c>
      <c r="Y33" s="75">
        <f>SUM(K33,L33,M33,)</f>
        <v>0</v>
      </c>
      <c r="Z33" s="77">
        <f>SUM(N33,O33,P33)</f>
        <v>0</v>
      </c>
      <c r="AK33" s="45" t="str">
        <f t="shared" si="15"/>
        <v>33 P</v>
      </c>
    </row>
    <row r="34" spans="2:37" ht="72.599999999999994" customHeight="1" thickBot="1">
      <c r="B34" s="119"/>
      <c r="C34" s="140" t="s">
        <v>134</v>
      </c>
      <c r="D34" s="313"/>
      <c r="E34" s="123" t="str">
        <f>IF(E33=0, "", IF(MOD(E33, $D$33) = 0, E33/ $D$33, IF(INT(E33 / $D$33) = 0, MOD(E33, $D$33) &amp; " P", INT(E33 / $D$33) &amp; " + " &amp; MOD(E33, $D$33) &amp; " P")))</f>
        <v>1 + 8 P</v>
      </c>
      <c r="F34" s="123" t="str">
        <f t="shared" ref="F34:P34" si="18">IF(F33=0, "", IF(MOD(F33, $D$33) = 0, F33/ $D$33, IF(INT(F33 / $D$33) = 0, MOD(F33, $D$33) &amp; " P", INT(F33 / $D$33) &amp; " + " &amp; MOD(F33, $D$33) &amp; " P")))</f>
        <v>1 + 10 P</v>
      </c>
      <c r="G34" s="123" t="str">
        <f t="shared" si="18"/>
        <v>2 + 3 P</v>
      </c>
      <c r="H34" s="123" t="str">
        <f t="shared" si="18"/>
        <v>3 + 8 P</v>
      </c>
      <c r="I34" s="123" t="str">
        <f t="shared" si="18"/>
        <v/>
      </c>
      <c r="J34" s="123" t="str">
        <f t="shared" si="18"/>
        <v/>
      </c>
      <c r="K34" s="123" t="str">
        <f t="shared" si="18"/>
        <v/>
      </c>
      <c r="L34" s="123" t="str">
        <f t="shared" si="18"/>
        <v/>
      </c>
      <c r="M34" s="123" t="str">
        <f t="shared" si="18"/>
        <v/>
      </c>
      <c r="N34" s="123" t="str">
        <f t="shared" si="18"/>
        <v/>
      </c>
      <c r="O34" s="123" t="str">
        <f t="shared" si="18"/>
        <v/>
      </c>
      <c r="P34" s="123" t="str">
        <f t="shared" si="18"/>
        <v/>
      </c>
      <c r="Q34" s="315"/>
      <c r="R34" s="317"/>
      <c r="S34" s="216"/>
      <c r="T34" s="218"/>
      <c r="U34" s="3"/>
      <c r="V34" s="74"/>
      <c r="W34" s="79"/>
      <c r="X34" s="80"/>
      <c r="Y34" s="75"/>
      <c r="Z34" s="81"/>
      <c r="AK34" s="46">
        <v>33</v>
      </c>
    </row>
    <row r="35" spans="2:37" ht="72.599999999999994" customHeight="1" thickBot="1">
      <c r="B35" s="118">
        <v>11</v>
      </c>
      <c r="C35" s="142" t="s">
        <v>109</v>
      </c>
      <c r="D35" s="312">
        <v>15</v>
      </c>
      <c r="E35" s="134">
        <v>9</v>
      </c>
      <c r="F35" s="127">
        <v>10</v>
      </c>
      <c r="G35" s="127">
        <v>36</v>
      </c>
      <c r="H35" s="127">
        <v>27</v>
      </c>
      <c r="I35" s="127"/>
      <c r="J35" s="127"/>
      <c r="K35" s="127"/>
      <c r="L35" s="127"/>
      <c r="M35" s="127"/>
      <c r="N35" s="127"/>
      <c r="O35" s="135"/>
      <c r="P35" s="135"/>
      <c r="Q35" s="314">
        <f>SUM(E35:P35)</f>
        <v>82</v>
      </c>
      <c r="R35" s="316">
        <v>7</v>
      </c>
      <c r="S35" s="215">
        <v>190</v>
      </c>
      <c r="T35" s="318">
        <f t="shared" ref="T35" si="19">SUM(S35-Q35)</f>
        <v>108</v>
      </c>
      <c r="U35" s="3"/>
      <c r="V35" s="74">
        <f>SUM(E35,F35)</f>
        <v>19</v>
      </c>
      <c r="W35" s="75">
        <f>SUM(G35,H35)</f>
        <v>63</v>
      </c>
      <c r="X35" s="76">
        <f>SUM(I35,J35)</f>
        <v>0</v>
      </c>
      <c r="Y35" s="75">
        <f>SUM(K35,L35,M35,)</f>
        <v>0</v>
      </c>
      <c r="Z35" s="77">
        <f>SUM(N35,O35,P35)</f>
        <v>0</v>
      </c>
      <c r="AK35" s="45" t="str">
        <f>IF(AK30=0, "", IF(MOD(AK30, $D$37) = 0, AK30/ $D$37, IF(INT(AK30 / $D$37) = 0, MOD(AK30, $D$37) &amp; " P", INT(AK30 / $D$37) &amp; " + " &amp; MOD(AK30, $D$37) &amp; " P")))</f>
        <v>1 + 7 P</v>
      </c>
    </row>
    <row r="36" spans="2:37" ht="72.599999999999994" customHeight="1" thickBot="1">
      <c r="B36" s="119"/>
      <c r="C36" s="140" t="s">
        <v>118</v>
      </c>
      <c r="D36" s="313"/>
      <c r="E36" s="123" t="str">
        <f>IF(E35=0, "", IF(MOD(E35, $D$35) = 0, E35/ $D$35, IF(INT(E35 / $D$35) = 0, MOD(E35, $D$35) &amp; " P", INT(E35 / $D$35) &amp; " + " &amp; MOD(E35, $D$35) &amp; " P")))</f>
        <v>9 P</v>
      </c>
      <c r="F36" s="123" t="str">
        <f t="shared" ref="F36:P36" si="20">IF(F35=0, "", IF(MOD(F35, $D$35) = 0, F35/ $D$35, IF(INT(F35 / $D$35) = 0, MOD(F35, $D$35) &amp; " P", INT(F35 / $D$35) &amp; " + " &amp; MOD(F35, $D$35) &amp; " P")))</f>
        <v>10 P</v>
      </c>
      <c r="G36" s="123" t="str">
        <f t="shared" si="20"/>
        <v>2 + 6 P</v>
      </c>
      <c r="H36" s="123" t="str">
        <f t="shared" si="20"/>
        <v>1 + 12 P</v>
      </c>
      <c r="I36" s="123" t="str">
        <f t="shared" si="20"/>
        <v/>
      </c>
      <c r="J36" s="123" t="str">
        <f t="shared" si="20"/>
        <v/>
      </c>
      <c r="K36" s="123" t="str">
        <f t="shared" si="20"/>
        <v/>
      </c>
      <c r="L36" s="123" t="str">
        <f t="shared" si="20"/>
        <v/>
      </c>
      <c r="M36" s="123" t="str">
        <f>IF(M35=0, "", IF(MOD(M35, $D$35) = 0, M35/ $D$35, IF(INT(M35 / $D$35) = 0, MOD(M35, $D$35) &amp; " P", INT(M35 / $D$35) &amp; " + " &amp; MOD(M35, $D$35) &amp; " P")))</f>
        <v/>
      </c>
      <c r="N36" s="123" t="str">
        <f>IF(N35=0, "", IF(MOD(N35, $D$35) = 0, N35/ $D$35, IF(INT(N35 / $D$35) = 0, MOD(N35, $D$35) &amp; " P", INT(N35 / $D$35) &amp; " + " &amp; MOD(N35, $D$35) &amp; " P")))</f>
        <v/>
      </c>
      <c r="O36" s="123" t="str">
        <f t="shared" si="20"/>
        <v/>
      </c>
      <c r="P36" s="123" t="str">
        <f t="shared" si="20"/>
        <v/>
      </c>
      <c r="Q36" s="315"/>
      <c r="R36" s="317"/>
      <c r="S36" s="216"/>
      <c r="T36" s="319"/>
      <c r="U36" s="3"/>
      <c r="V36" s="74"/>
      <c r="W36" s="79"/>
      <c r="X36" s="80"/>
      <c r="Y36" s="75"/>
      <c r="Z36" s="81"/>
    </row>
    <row r="37" spans="2:37" ht="72.599999999999994" customHeight="1" thickBot="1">
      <c r="B37" s="118">
        <v>12</v>
      </c>
      <c r="C37" s="142" t="s">
        <v>131</v>
      </c>
      <c r="D37" s="312">
        <v>27</v>
      </c>
      <c r="E37" s="120">
        <v>29</v>
      </c>
      <c r="F37" s="120">
        <v>37</v>
      </c>
      <c r="G37" s="120">
        <v>52</v>
      </c>
      <c r="H37" s="120">
        <v>74</v>
      </c>
      <c r="I37" s="120"/>
      <c r="J37" s="120"/>
      <c r="K37" s="120"/>
      <c r="L37" s="120"/>
      <c r="M37" s="120"/>
      <c r="N37" s="120"/>
      <c r="O37" s="120"/>
      <c r="P37" s="120"/>
      <c r="Q37" s="314">
        <f>SUM(E37:P37)</f>
        <v>192</v>
      </c>
      <c r="R37" s="316">
        <v>9</v>
      </c>
      <c r="S37" s="215">
        <v>440</v>
      </c>
      <c r="T37" s="318">
        <f t="shared" ref="T37" si="21">SUM(S37-Q37)</f>
        <v>248</v>
      </c>
      <c r="U37" s="3"/>
      <c r="V37" s="74">
        <f>SUM(E37,F37)</f>
        <v>66</v>
      </c>
      <c r="W37" s="75">
        <f>SUM(G37,H37)</f>
        <v>126</v>
      </c>
      <c r="X37" s="76">
        <f>SUM(I37,J37)</f>
        <v>0</v>
      </c>
      <c r="Y37" s="75">
        <f>SUM(K37,L37,M37,)</f>
        <v>0</v>
      </c>
      <c r="Z37" s="77">
        <f>SUM(N37,O37,P37)</f>
        <v>0</v>
      </c>
      <c r="AK37" s="45" t="str">
        <f>IF(AK32=0, "", IF(MOD(AK32, $D$37) = 0, AK32/ $D$37, IF(INT(AK32 / $D$37) = 0, MOD(AK32, $D$37) &amp; " P", INT(AK32 / $D$37) &amp; " + " &amp; MOD(AK32, $D$37) &amp; " P")))</f>
        <v>1 + 6 P</v>
      </c>
    </row>
    <row r="38" spans="2:37" ht="72.599999999999994" customHeight="1" thickBot="1">
      <c r="B38" s="119"/>
      <c r="C38" s="140" t="s">
        <v>132</v>
      </c>
      <c r="D38" s="313"/>
      <c r="E38" s="123" t="str">
        <f>IF(E37=0, "", IF(MOD(E37, $D$37) = 0, E37/ $D$37, IF(INT(E37 / $D$37) = 0, MOD(E37, $D$37) &amp; " P", INT(E37 / $D$37) &amp; " + " &amp; MOD(E37, $D$37) &amp; " P")))</f>
        <v>1 + 2 P</v>
      </c>
      <c r="F38" s="123" t="str">
        <f t="shared" ref="F38:P38" si="22">IF(F37=0, "", IF(MOD(F37, $D$37) = 0, F37/ $D$37, IF(INT(F37 / $D$37) = 0, MOD(F37, $D$37) &amp; " P", INT(F37 / $D$37) &amp; " + " &amp; MOD(F37, $D$37) &amp; " P")))</f>
        <v>1 + 10 P</v>
      </c>
      <c r="G38" s="123" t="str">
        <f t="shared" si="22"/>
        <v>1 + 25 P</v>
      </c>
      <c r="H38" s="123" t="str">
        <f t="shared" si="22"/>
        <v>2 + 20 P</v>
      </c>
      <c r="I38" s="123" t="str">
        <f t="shared" si="22"/>
        <v/>
      </c>
      <c r="J38" s="123" t="str">
        <f t="shared" si="22"/>
        <v/>
      </c>
      <c r="K38" s="123" t="str">
        <f t="shared" si="22"/>
        <v/>
      </c>
      <c r="L38" s="123" t="str">
        <f t="shared" si="22"/>
        <v/>
      </c>
      <c r="M38" s="123" t="str">
        <f t="shared" si="22"/>
        <v/>
      </c>
      <c r="N38" s="123" t="str">
        <f t="shared" si="22"/>
        <v/>
      </c>
      <c r="O38" s="123" t="str">
        <f t="shared" si="22"/>
        <v/>
      </c>
      <c r="P38" s="123" t="str">
        <f t="shared" si="22"/>
        <v/>
      </c>
      <c r="Q38" s="315"/>
      <c r="R38" s="317"/>
      <c r="S38" s="216"/>
      <c r="T38" s="319"/>
      <c r="U38" s="3"/>
      <c r="V38" s="74"/>
      <c r="W38" s="79"/>
      <c r="X38" s="80"/>
      <c r="Y38" s="75"/>
      <c r="Z38" s="81"/>
    </row>
    <row r="39" spans="2:37" ht="72.599999999999994" customHeight="1" thickBot="1">
      <c r="B39" s="118">
        <v>13</v>
      </c>
      <c r="C39" s="142" t="s">
        <v>65</v>
      </c>
      <c r="D39" s="312">
        <v>20</v>
      </c>
      <c r="E39" s="120">
        <v>14</v>
      </c>
      <c r="F39" s="120">
        <v>17</v>
      </c>
      <c r="G39" s="120">
        <v>115</v>
      </c>
      <c r="H39" s="120">
        <v>67</v>
      </c>
      <c r="I39" s="120"/>
      <c r="J39" s="120"/>
      <c r="K39" s="120"/>
      <c r="L39" s="120"/>
      <c r="M39" s="120"/>
      <c r="N39" s="120"/>
      <c r="O39" s="120"/>
      <c r="P39" s="120"/>
      <c r="Q39" s="314">
        <f>SUM(E39:P39)</f>
        <v>213</v>
      </c>
      <c r="R39" s="316">
        <v>12</v>
      </c>
      <c r="S39" s="215">
        <v>450</v>
      </c>
      <c r="T39" s="318">
        <f t="shared" ref="T39" si="23">SUM(S39-Q39)</f>
        <v>237</v>
      </c>
      <c r="U39" s="3"/>
      <c r="V39" s="74">
        <f>SUM(E39,F39)</f>
        <v>31</v>
      </c>
      <c r="W39" s="75">
        <f>SUM(G39,H39)</f>
        <v>182</v>
      </c>
      <c r="X39" s="76">
        <f>SUM(I39,J39)</f>
        <v>0</v>
      </c>
      <c r="Y39" s="75">
        <f>SUM(K39,L39,M39,)</f>
        <v>0</v>
      </c>
      <c r="Z39" s="77">
        <f>SUM(N39,O39,P39)</f>
        <v>0</v>
      </c>
      <c r="AK39" s="45" t="str">
        <f>IF(AK36=0, "", IF(MOD(AK36, $D$37) = 0, AK36/ $D$37, IF(INT(AK36 / $D$37) = 0, MOD(AK36, $D$37) &amp; " P", INT(AK36 / $D$37) &amp; " + " &amp; MOD(AK36, $D$37) &amp; " P")))</f>
        <v/>
      </c>
    </row>
    <row r="40" spans="2:37" ht="72.599999999999994" customHeight="1" thickBot="1">
      <c r="B40" s="119"/>
      <c r="C40" s="139" t="s">
        <v>115</v>
      </c>
      <c r="D40" s="313"/>
      <c r="E40" s="123" t="str">
        <f>IF(E39=0, "", IF(MOD(E39, $D$39) = 0, E39/ $D$39, IF(INT(E39 / $D$39) = 0, MOD(E39, $D$39) &amp; " P", INT(E39 / $D$39) &amp; " + " &amp; MOD(E39, $D$39) &amp; " P")))</f>
        <v>14 P</v>
      </c>
      <c r="F40" s="123" t="str">
        <f t="shared" ref="F40:P40" si="24">IF(F39=0, "", IF(MOD(F39, $D$39) = 0, F39/ $D$39, IF(INT(F39 / $D$39) = 0, MOD(F39, $D$39) &amp; " P", INT(F39 / $D$39) &amp; " + " &amp; MOD(F39, $D$39) &amp; " P")))</f>
        <v>17 P</v>
      </c>
      <c r="G40" s="123" t="str">
        <f t="shared" si="24"/>
        <v>5 + 15 P</v>
      </c>
      <c r="H40" s="123" t="str">
        <f t="shared" si="24"/>
        <v>3 + 7 P</v>
      </c>
      <c r="I40" s="123" t="str">
        <f t="shared" si="24"/>
        <v/>
      </c>
      <c r="J40" s="123" t="str">
        <f t="shared" si="24"/>
        <v/>
      </c>
      <c r="K40" s="123" t="str">
        <f t="shared" si="24"/>
        <v/>
      </c>
      <c r="L40" s="123" t="str">
        <f t="shared" si="24"/>
        <v/>
      </c>
      <c r="M40" s="123" t="str">
        <f t="shared" si="24"/>
        <v/>
      </c>
      <c r="N40" s="123" t="str">
        <f t="shared" si="24"/>
        <v/>
      </c>
      <c r="O40" s="123" t="str">
        <f t="shared" si="24"/>
        <v/>
      </c>
      <c r="P40" s="123" t="str">
        <f t="shared" si="24"/>
        <v/>
      </c>
      <c r="Q40" s="315"/>
      <c r="R40" s="317"/>
      <c r="S40" s="216"/>
      <c r="T40" s="319"/>
      <c r="U40" s="3"/>
      <c r="V40" s="74"/>
      <c r="W40" s="79"/>
      <c r="X40" s="80"/>
      <c r="Y40" s="75"/>
      <c r="Z40" s="81"/>
    </row>
    <row r="41" spans="2:37" ht="72.599999999999994" customHeight="1" thickBot="1">
      <c r="B41" s="118">
        <v>14</v>
      </c>
      <c r="C41" s="141" t="s">
        <v>66</v>
      </c>
      <c r="D41" s="312">
        <v>32</v>
      </c>
      <c r="E41" s="120">
        <v>7</v>
      </c>
      <c r="F41" s="120">
        <v>5</v>
      </c>
      <c r="G41" s="120">
        <v>55</v>
      </c>
      <c r="H41" s="120">
        <v>26</v>
      </c>
      <c r="I41" s="120"/>
      <c r="J41" s="120"/>
      <c r="K41" s="120"/>
      <c r="L41" s="120"/>
      <c r="M41" s="120"/>
      <c r="N41" s="120"/>
      <c r="O41" s="120"/>
      <c r="P41" s="120"/>
      <c r="Q41" s="314">
        <f>SUM(E41:P41)</f>
        <v>93</v>
      </c>
      <c r="R41" s="316">
        <v>5</v>
      </c>
      <c r="S41" s="215">
        <v>220</v>
      </c>
      <c r="T41" s="217">
        <f t="shared" ref="T41" si="25">SUM(S41-Q41)</f>
        <v>127</v>
      </c>
      <c r="U41" s="3"/>
      <c r="V41" s="74">
        <f>SUM(E41,F41)</f>
        <v>12</v>
      </c>
      <c r="W41" s="75">
        <f>SUM(G41,H41)</f>
        <v>81</v>
      </c>
      <c r="X41" s="76">
        <f>SUM(I41,J41)</f>
        <v>0</v>
      </c>
      <c r="Y41" s="75">
        <f>SUM(K41,L41,M41,)</f>
        <v>0</v>
      </c>
      <c r="Z41" s="77">
        <f>SUM(N41,O41,P41)</f>
        <v>0</v>
      </c>
      <c r="AK41" s="45" t="str">
        <f>IF(AK38=0, "", IF(MOD(AK38, $D$37) = 0, AK38/ $D$37, IF(INT(AK38 / $D$37) = 0, MOD(AK38, $D$37) &amp; " P", INT(AK38 / $D$37) &amp; " + " &amp; MOD(AK38, $D$37) &amp; " P")))</f>
        <v/>
      </c>
    </row>
    <row r="42" spans="2:37" ht="72.599999999999994" customHeight="1" thickBot="1">
      <c r="B42" s="119"/>
      <c r="C42" s="139" t="s">
        <v>116</v>
      </c>
      <c r="D42" s="313"/>
      <c r="E42" s="123" t="str">
        <f>IF(E41=0, "", IF(MOD(E41, $D$41) = 0, E41/ $D$41, IF(INT(E41 / $D$41) = 0, MOD(E41, $D$41) &amp; " P", INT(E41 / $D$41) &amp; " + " &amp; MOD(E41, $D$41) &amp; " P")))</f>
        <v>7 P</v>
      </c>
      <c r="F42" s="123" t="str">
        <f t="shared" ref="F42:P42" si="26">IF(F41=0, "", IF(MOD(F41, $D$41) = 0, F41/ $D$41, IF(INT(F41 / $D$41) = 0, MOD(F41, $D$41) &amp; " P", INT(F41 / $D$41) &amp; " + " &amp; MOD(F41, $D$41) &amp; " P")))</f>
        <v>5 P</v>
      </c>
      <c r="G42" s="123" t="str">
        <f t="shared" si="26"/>
        <v>1 + 23 P</v>
      </c>
      <c r="H42" s="123" t="str">
        <f t="shared" si="26"/>
        <v>26 P</v>
      </c>
      <c r="I42" s="123" t="str">
        <f t="shared" si="26"/>
        <v/>
      </c>
      <c r="J42" s="123" t="str">
        <f t="shared" si="26"/>
        <v/>
      </c>
      <c r="K42" s="123" t="str">
        <f t="shared" si="26"/>
        <v/>
      </c>
      <c r="L42" s="123" t="str">
        <f t="shared" si="26"/>
        <v/>
      </c>
      <c r="M42" s="123" t="str">
        <f t="shared" si="26"/>
        <v/>
      </c>
      <c r="N42" s="123" t="str">
        <f t="shared" si="26"/>
        <v/>
      </c>
      <c r="O42" s="123" t="str">
        <f t="shared" si="26"/>
        <v/>
      </c>
      <c r="P42" s="123" t="str">
        <f t="shared" si="26"/>
        <v/>
      </c>
      <c r="Q42" s="315"/>
      <c r="R42" s="317"/>
      <c r="S42" s="216"/>
      <c r="T42" s="218"/>
      <c r="U42" s="3"/>
      <c r="V42" s="74"/>
      <c r="W42" s="79"/>
      <c r="X42" s="80"/>
      <c r="Y42" s="75"/>
      <c r="Z42" s="81"/>
    </row>
    <row r="43" spans="2:37" ht="72.599999999999994" customHeight="1" thickBot="1">
      <c r="B43" s="118">
        <v>15</v>
      </c>
      <c r="C43" s="138" t="s">
        <v>105</v>
      </c>
      <c r="D43" s="312">
        <v>15</v>
      </c>
      <c r="E43" s="120">
        <v>5</v>
      </c>
      <c r="F43" s="120">
        <v>4</v>
      </c>
      <c r="G43" s="120">
        <v>18</v>
      </c>
      <c r="H43" s="120">
        <v>13</v>
      </c>
      <c r="I43" s="120"/>
      <c r="J43" s="120"/>
      <c r="K43" s="120"/>
      <c r="L43" s="120"/>
      <c r="M43" s="120"/>
      <c r="N43" s="120"/>
      <c r="O43" s="120"/>
      <c r="P43" s="120"/>
      <c r="Q43" s="314">
        <f>SUM(E43:P43)</f>
        <v>40</v>
      </c>
      <c r="R43" s="316">
        <v>5</v>
      </c>
      <c r="S43" s="215">
        <v>100</v>
      </c>
      <c r="T43" s="217">
        <f t="shared" ref="T43" si="27">SUM(S43-Q43)</f>
        <v>60</v>
      </c>
      <c r="U43" s="3"/>
      <c r="V43" s="74">
        <f>SUM(E43,F43)</f>
        <v>9</v>
      </c>
      <c r="W43" s="75">
        <f>SUM(G43,H43)</f>
        <v>31</v>
      </c>
      <c r="X43" s="76">
        <f>SUM(I43,J43)</f>
        <v>0</v>
      </c>
      <c r="Y43" s="75">
        <f>SUM(K43,L43,M43,)</f>
        <v>0</v>
      </c>
      <c r="Z43" s="77">
        <f>SUM(N43,O43,P43)</f>
        <v>0</v>
      </c>
      <c r="AK43" s="45" t="str">
        <f>IF(AK40=0, "", IF(MOD(AK40, $D$37) = 0, AK40/ $D$37, IF(INT(AK40 / $D$37) = 0, MOD(AK40, $D$37) &amp; " P", INT(AK40 / $D$37) &amp; " + " &amp; MOD(AK40, $D$37) &amp; " P")))</f>
        <v/>
      </c>
    </row>
    <row r="44" spans="2:37" ht="72.599999999999994" customHeight="1" thickBot="1">
      <c r="B44" s="119"/>
      <c r="C44" s="140" t="s">
        <v>117</v>
      </c>
      <c r="D44" s="313"/>
      <c r="E44" s="123" t="str">
        <f>IF(E43=0, "", IF(MOD(E43, $D$43) = 0, E43/ $D$43, IF(INT(E43 / $D$43) = 0, MOD(E43, $D$43) &amp; " P", INT(E43 / $D$43) &amp; " + " &amp; MOD(E43, $D$43) &amp; " P")))</f>
        <v>5 P</v>
      </c>
      <c r="F44" s="123" t="str">
        <f t="shared" ref="F44:P44" si="28">IF(F43=0, "", IF(MOD(F43, $D$43) = 0, F43/ $D$43, IF(INT(F43 / $D$43) = 0, MOD(F43, $D$43) &amp; " P", INT(F43 / $D$43) &amp; " + " &amp; MOD(F43, $D$43) &amp; " P")))</f>
        <v>4 P</v>
      </c>
      <c r="G44" s="123" t="str">
        <f t="shared" si="28"/>
        <v>1 + 3 P</v>
      </c>
      <c r="H44" s="123" t="str">
        <f t="shared" si="28"/>
        <v>13 P</v>
      </c>
      <c r="I44" s="123" t="str">
        <f t="shared" si="28"/>
        <v/>
      </c>
      <c r="J44" s="123" t="str">
        <f t="shared" si="28"/>
        <v/>
      </c>
      <c r="K44" s="123" t="str">
        <f t="shared" si="28"/>
        <v/>
      </c>
      <c r="L44" s="123" t="str">
        <f t="shared" si="28"/>
        <v/>
      </c>
      <c r="M44" s="123" t="str">
        <f t="shared" si="28"/>
        <v/>
      </c>
      <c r="N44" s="123" t="str">
        <f t="shared" si="28"/>
        <v/>
      </c>
      <c r="O44" s="123" t="str">
        <f t="shared" si="28"/>
        <v/>
      </c>
      <c r="P44" s="123" t="str">
        <f t="shared" si="28"/>
        <v/>
      </c>
      <c r="Q44" s="315"/>
      <c r="R44" s="317"/>
      <c r="S44" s="216"/>
      <c r="T44" s="218"/>
      <c r="U44" s="3"/>
      <c r="V44" s="74"/>
      <c r="W44" s="79"/>
      <c r="X44" s="80"/>
      <c r="Y44" s="75"/>
      <c r="Z44" s="81"/>
    </row>
    <row r="45" spans="2:37" ht="73.5" customHeight="1" thickBot="1">
      <c r="B45" s="239" t="s">
        <v>81</v>
      </c>
      <c r="C45" s="240"/>
      <c r="D45" s="241"/>
      <c r="E45" s="65">
        <v>-22</v>
      </c>
      <c r="F45" s="65">
        <v>-21</v>
      </c>
      <c r="G45" s="65">
        <v>-46</v>
      </c>
      <c r="H45" s="65">
        <v>-35</v>
      </c>
      <c r="I45" s="65"/>
      <c r="J45" s="65"/>
      <c r="K45" s="65"/>
      <c r="L45" s="65"/>
      <c r="M45" s="65"/>
      <c r="N45" s="65"/>
      <c r="O45" s="65"/>
      <c r="P45" s="65"/>
      <c r="Q45" s="66" t="s">
        <v>87</v>
      </c>
      <c r="R45" s="67">
        <f>SUM(R10:R44)</f>
        <v>124</v>
      </c>
      <c r="S45" s="63"/>
      <c r="T45" s="105"/>
      <c r="U45" s="3"/>
      <c r="V45" s="82"/>
      <c r="W45" s="83"/>
      <c r="X45" s="84"/>
      <c r="Y45" s="85"/>
      <c r="Z45" s="84"/>
    </row>
    <row r="46" spans="2:37" ht="13.2" customHeight="1" thickBot="1">
      <c r="B46" s="33"/>
      <c r="C46" s="33"/>
      <c r="D46" s="33"/>
      <c r="E46" s="32"/>
      <c r="F46" s="32"/>
      <c r="G46" s="32"/>
      <c r="H46" s="32"/>
      <c r="I46" s="32"/>
      <c r="J46" s="34"/>
      <c r="K46" s="35"/>
      <c r="L46" s="61"/>
      <c r="M46" s="62"/>
      <c r="O46" s="52"/>
      <c r="P46" s="52"/>
      <c r="Q46" s="52"/>
      <c r="R46" s="52"/>
      <c r="T46" s="31"/>
      <c r="U46" s="3"/>
      <c r="V46" s="3"/>
      <c r="W46" s="3"/>
      <c r="X46" s="3"/>
      <c r="Y46" s="3"/>
    </row>
    <row r="47" spans="2:37" ht="105" hidden="1" customHeight="1" thickBot="1"/>
    <row r="48" spans="2:37" ht="37.5" hidden="1" customHeight="1" thickBot="1"/>
    <row r="49" spans="2:20" ht="48.75" hidden="1" customHeight="1" thickBot="1"/>
    <row r="50" spans="2:20" s="3" customFormat="1" ht="64.95" customHeight="1" thickBot="1">
      <c r="B50" s="246" t="s">
        <v>49</v>
      </c>
      <c r="C50" s="247"/>
      <c r="D50" s="246" t="s">
        <v>53</v>
      </c>
      <c r="E50" s="247"/>
      <c r="F50" s="246" t="s">
        <v>54</v>
      </c>
      <c r="G50" s="247"/>
      <c r="H50" s="246" t="s">
        <v>71</v>
      </c>
      <c r="I50" s="247"/>
      <c r="M50" s="307" t="s">
        <v>88</v>
      </c>
      <c r="N50" s="307"/>
      <c r="O50" s="307"/>
      <c r="P50" s="307"/>
      <c r="Q50" s="310">
        <f>SUM(R45)</f>
        <v>124</v>
      </c>
      <c r="R50" s="304" t="s">
        <v>89</v>
      </c>
      <c r="T50" s="31"/>
    </row>
    <row r="51" spans="2:20" s="3" customFormat="1" ht="58.95" customHeight="1">
      <c r="B51" s="248" t="s">
        <v>72</v>
      </c>
      <c r="C51" s="249"/>
      <c r="D51" s="250"/>
      <c r="E51" s="251"/>
      <c r="F51" s="250"/>
      <c r="G51" s="251"/>
      <c r="H51" s="250"/>
      <c r="I51" s="251"/>
      <c r="M51" s="307"/>
      <c r="N51" s="307"/>
      <c r="O51" s="307"/>
      <c r="P51" s="307"/>
      <c r="Q51" s="311"/>
      <c r="R51" s="304"/>
      <c r="T51" s="31"/>
    </row>
    <row r="52" spans="2:20" s="3" customFormat="1" ht="58.95" customHeight="1" thickBot="1">
      <c r="B52" s="234" t="s">
        <v>74</v>
      </c>
      <c r="C52" s="235"/>
      <c r="D52" s="236"/>
      <c r="E52" s="237"/>
      <c r="F52" s="236"/>
      <c r="G52" s="237"/>
      <c r="H52" s="236"/>
      <c r="I52" s="237"/>
      <c r="M52" s="52"/>
      <c r="N52" s="238" t="s">
        <v>73</v>
      </c>
      <c r="O52" s="238"/>
      <c r="P52" s="238"/>
      <c r="Q52" s="238"/>
      <c r="R52" s="238"/>
      <c r="T52" s="31"/>
    </row>
    <row r="53" spans="2:20" s="3" customFormat="1" ht="58.95" customHeight="1" thickBot="1">
      <c r="B53" s="242" t="s">
        <v>76</v>
      </c>
      <c r="C53" s="243"/>
      <c r="D53" s="244"/>
      <c r="E53" s="245"/>
      <c r="F53" s="244"/>
      <c r="G53" s="245"/>
      <c r="H53" s="244"/>
      <c r="I53" s="245"/>
      <c r="K53" s="41" t="s">
        <v>77</v>
      </c>
      <c r="L53" s="68"/>
      <c r="M53" s="89"/>
      <c r="N53" s="90"/>
      <c r="O53" s="39" t="s">
        <v>75</v>
      </c>
      <c r="P53" s="39" t="s">
        <v>75</v>
      </c>
      <c r="Q53" s="39" t="s">
        <v>75</v>
      </c>
      <c r="R53" s="39" t="s">
        <v>59</v>
      </c>
      <c r="T53" s="31"/>
    </row>
    <row r="54" spans="2:20" s="3" customFormat="1" ht="64.2" customHeight="1" thickBot="1">
      <c r="D54" s="52"/>
      <c r="E54" s="41"/>
      <c r="F54" s="41"/>
      <c r="G54" s="69"/>
      <c r="H54" s="69"/>
      <c r="I54" s="41"/>
      <c r="K54" s="41"/>
      <c r="N54" s="41"/>
      <c r="O54" s="39"/>
      <c r="P54" s="39"/>
      <c r="Q54" s="39"/>
      <c r="R54" s="39"/>
      <c r="T54" s="31"/>
    </row>
  </sheetData>
  <mergeCells count="124">
    <mergeCell ref="L4:M4"/>
    <mergeCell ref="B10:D11"/>
    <mergeCell ref="E10:R11"/>
    <mergeCell ref="W11:AA11"/>
    <mergeCell ref="B12:C14"/>
    <mergeCell ref="D12:D14"/>
    <mergeCell ref="E12:F12"/>
    <mergeCell ref="G12:H12"/>
    <mergeCell ref="I12:J12"/>
    <mergeCell ref="K12:M12"/>
    <mergeCell ref="X12:X13"/>
    <mergeCell ref="Y12:Y13"/>
    <mergeCell ref="Z12:Z13"/>
    <mergeCell ref="E13:F13"/>
    <mergeCell ref="G13:H13"/>
    <mergeCell ref="I13:J13"/>
    <mergeCell ref="K13:M13"/>
    <mergeCell ref="N13:O13"/>
    <mergeCell ref="N12:O12"/>
    <mergeCell ref="Q12:R13"/>
    <mergeCell ref="S12:S14"/>
    <mergeCell ref="T12:T14"/>
    <mergeCell ref="V12:V13"/>
    <mergeCell ref="W12:W13"/>
    <mergeCell ref="B17:B18"/>
    <mergeCell ref="D17:D18"/>
    <mergeCell ref="Q17:Q18"/>
    <mergeCell ref="R17:R18"/>
    <mergeCell ref="S17:S18"/>
    <mergeCell ref="T17:T18"/>
    <mergeCell ref="B15:B16"/>
    <mergeCell ref="D15:D16"/>
    <mergeCell ref="Q15:Q16"/>
    <mergeCell ref="R15:R16"/>
    <mergeCell ref="S15:S16"/>
    <mergeCell ref="T15:T16"/>
    <mergeCell ref="B21:B22"/>
    <mergeCell ref="D21:D22"/>
    <mergeCell ref="Q21:Q22"/>
    <mergeCell ref="R21:R22"/>
    <mergeCell ref="S21:S22"/>
    <mergeCell ref="T21:T22"/>
    <mergeCell ref="B19:B20"/>
    <mergeCell ref="D19:D20"/>
    <mergeCell ref="Q19:Q20"/>
    <mergeCell ref="R19:R20"/>
    <mergeCell ref="S19:S20"/>
    <mergeCell ref="T19:T20"/>
    <mergeCell ref="D23:D24"/>
    <mergeCell ref="Q23:Q24"/>
    <mergeCell ref="R23:R24"/>
    <mergeCell ref="S23:S24"/>
    <mergeCell ref="T23:T24"/>
    <mergeCell ref="D25:D26"/>
    <mergeCell ref="Q25:Q26"/>
    <mergeCell ref="R25:R26"/>
    <mergeCell ref="S25:S26"/>
    <mergeCell ref="T25:T26"/>
    <mergeCell ref="D27:D28"/>
    <mergeCell ref="Q27:Q28"/>
    <mergeCell ref="R27:R28"/>
    <mergeCell ref="S27:S28"/>
    <mergeCell ref="T27:T28"/>
    <mergeCell ref="D29:D30"/>
    <mergeCell ref="Q29:Q30"/>
    <mergeCell ref="R29:R30"/>
    <mergeCell ref="S29:S30"/>
    <mergeCell ref="T29:T30"/>
    <mergeCell ref="D31:D32"/>
    <mergeCell ref="Q31:Q32"/>
    <mergeCell ref="R31:R32"/>
    <mergeCell ref="S31:S32"/>
    <mergeCell ref="T31:T32"/>
    <mergeCell ref="D33:D34"/>
    <mergeCell ref="Q33:Q34"/>
    <mergeCell ref="R33:R34"/>
    <mergeCell ref="S33:S34"/>
    <mergeCell ref="T33:T34"/>
    <mergeCell ref="D35:D36"/>
    <mergeCell ref="Q35:Q36"/>
    <mergeCell ref="R35:R36"/>
    <mergeCell ref="S35:S36"/>
    <mergeCell ref="T35:T36"/>
    <mergeCell ref="D37:D38"/>
    <mergeCell ref="Q37:Q38"/>
    <mergeCell ref="R37:R38"/>
    <mergeCell ref="S37:S38"/>
    <mergeCell ref="T37:T38"/>
    <mergeCell ref="D43:D44"/>
    <mergeCell ref="Q43:Q44"/>
    <mergeCell ref="R43:R44"/>
    <mergeCell ref="S43:S44"/>
    <mergeCell ref="T43:T44"/>
    <mergeCell ref="B45:D45"/>
    <mergeCell ref="D39:D40"/>
    <mergeCell ref="Q39:Q40"/>
    <mergeCell ref="R39:R40"/>
    <mergeCell ref="S39:S40"/>
    <mergeCell ref="T39:T40"/>
    <mergeCell ref="D41:D42"/>
    <mergeCell ref="Q41:Q42"/>
    <mergeCell ref="R41:R42"/>
    <mergeCell ref="S41:S42"/>
    <mergeCell ref="T41:T42"/>
    <mergeCell ref="B53:C53"/>
    <mergeCell ref="D53:E53"/>
    <mergeCell ref="F53:G53"/>
    <mergeCell ref="H53:I53"/>
    <mergeCell ref="R50:R51"/>
    <mergeCell ref="B51:C51"/>
    <mergeCell ref="D51:E51"/>
    <mergeCell ref="F51:G51"/>
    <mergeCell ref="H51:I51"/>
    <mergeCell ref="B52:C52"/>
    <mergeCell ref="D52:E52"/>
    <mergeCell ref="F52:G52"/>
    <mergeCell ref="H52:I52"/>
    <mergeCell ref="N52:R52"/>
    <mergeCell ref="B50:C50"/>
    <mergeCell ref="D50:E50"/>
    <mergeCell ref="F50:G50"/>
    <mergeCell ref="H50:I50"/>
    <mergeCell ref="M50:P51"/>
    <mergeCell ref="Q50:Q51"/>
  </mergeCells>
  <printOptions horizontalCentered="1"/>
  <pageMargins left="0" right="0" top="0.15748031496062992" bottom="0" header="0" footer="0"/>
  <pageSetup paperSize="9" scale="1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3011-5F30-4B22-86C3-114347F44C10}">
  <dimension ref="B4:AK54"/>
  <sheetViews>
    <sheetView topLeftCell="A3" zoomScale="20" zoomScaleNormal="20" zoomScaleSheetLayoutView="20" workbookViewId="0">
      <selection activeCell="B10" sqref="B10:D11"/>
    </sheetView>
  </sheetViews>
  <sheetFormatPr defaultColWidth="5.77734375" defaultRowHeight="15" customHeight="1"/>
  <cols>
    <col min="1" max="1" width="5.77734375" style="3" customWidth="1"/>
    <col min="2" max="2" width="22.6640625" style="3" customWidth="1"/>
    <col min="3" max="3" width="174.88671875" style="3" customWidth="1"/>
    <col min="4" max="4" width="28.6640625" style="3" customWidth="1"/>
    <col min="5" max="8" width="34.77734375" style="3" hidden="1" customWidth="1"/>
    <col min="9" max="15" width="47.88671875" style="3" customWidth="1"/>
    <col min="16" max="16" width="47.88671875" style="3" hidden="1" customWidth="1"/>
    <col min="17" max="17" width="47.88671875" style="3" customWidth="1"/>
    <col min="18" max="18" width="47.88671875" style="31" customWidth="1"/>
    <col min="19" max="19" width="27.33203125" style="3" customWidth="1"/>
    <col min="20" max="20" width="27.33203125" style="103" customWidth="1"/>
    <col min="21" max="21" width="9.44140625" style="52" customWidth="1"/>
    <col min="22" max="25" width="35.88671875" style="52" customWidth="1"/>
    <col min="26" max="26" width="35.88671875" style="3" customWidth="1"/>
    <col min="27" max="36" width="5.77734375" style="3"/>
    <col min="37" max="37" width="10.109375" style="3" bestFit="1" customWidth="1"/>
    <col min="38" max="16384" width="5.77734375" style="3"/>
  </cols>
  <sheetData>
    <row r="4" spans="2:37" ht="31.95" customHeight="1">
      <c r="B4" s="27"/>
      <c r="C4" s="26"/>
      <c r="D4" s="26"/>
      <c r="E4" s="26"/>
      <c r="F4" s="26"/>
      <c r="G4" s="26"/>
      <c r="H4" s="26"/>
      <c r="I4" s="28"/>
      <c r="J4" s="28"/>
      <c r="K4" s="38"/>
      <c r="L4" s="238"/>
      <c r="M4" s="238"/>
      <c r="N4" s="42"/>
      <c r="O4" s="42"/>
      <c r="P4" s="42"/>
      <c r="Q4" s="33"/>
    </row>
    <row r="5" spans="2:37" ht="15" customHeight="1">
      <c r="K5" s="38"/>
      <c r="L5" s="38"/>
      <c r="M5" s="38"/>
    </row>
    <row r="6" spans="2:37" ht="15" customHeight="1">
      <c r="K6" s="38"/>
      <c r="L6" s="38"/>
      <c r="M6" s="38"/>
    </row>
    <row r="7" spans="2:37" ht="15" customHeight="1">
      <c r="K7" s="38"/>
      <c r="L7" s="38"/>
      <c r="M7" s="38"/>
    </row>
    <row r="9" spans="2:37" ht="15" customHeight="1" thickBot="1"/>
    <row r="10" spans="2:37" ht="71.400000000000006" customHeight="1" thickBot="1">
      <c r="B10" s="327" t="s">
        <v>136</v>
      </c>
      <c r="C10" s="327"/>
      <c r="D10" s="327"/>
      <c r="E10" s="329" t="s">
        <v>137</v>
      </c>
      <c r="F10" s="330"/>
      <c r="G10" s="330"/>
      <c r="H10" s="330"/>
      <c r="I10" s="330"/>
      <c r="J10" s="330"/>
      <c r="K10" s="330"/>
      <c r="L10" s="330"/>
      <c r="M10" s="330"/>
      <c r="N10" s="330"/>
      <c r="O10" s="330"/>
      <c r="P10" s="330"/>
      <c r="Q10" s="330"/>
      <c r="R10" s="331"/>
      <c r="U10" s="3"/>
      <c r="Z10" s="52"/>
      <c r="AA10" s="30"/>
    </row>
    <row r="11" spans="2:37" ht="3" hidden="1" customHeight="1" thickBot="1">
      <c r="B11" s="328"/>
      <c r="C11" s="328"/>
      <c r="D11" s="328"/>
      <c r="E11" s="332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4"/>
      <c r="S11" s="53"/>
      <c r="T11" s="104"/>
      <c r="U11" s="29"/>
      <c r="W11" s="231"/>
      <c r="X11" s="232"/>
      <c r="Y11" s="232"/>
      <c r="Z11" s="232"/>
      <c r="AA11" s="233"/>
    </row>
    <row r="12" spans="2:37" ht="72.75" customHeight="1" thickBot="1">
      <c r="B12" s="286" t="s">
        <v>90</v>
      </c>
      <c r="C12" s="287"/>
      <c r="D12" s="292" t="s">
        <v>39</v>
      </c>
      <c r="E12" s="295" t="s">
        <v>98</v>
      </c>
      <c r="F12" s="296"/>
      <c r="G12" s="297" t="s">
        <v>99</v>
      </c>
      <c r="H12" s="298"/>
      <c r="I12" s="277" t="s">
        <v>100</v>
      </c>
      <c r="J12" s="278"/>
      <c r="K12" s="262" t="s">
        <v>101</v>
      </c>
      <c r="L12" s="263"/>
      <c r="M12" s="264"/>
      <c r="N12" s="272" t="s">
        <v>102</v>
      </c>
      <c r="O12" s="273"/>
      <c r="P12" s="115"/>
      <c r="Q12" s="279" t="s">
        <v>68</v>
      </c>
      <c r="R12" s="280"/>
      <c r="S12" s="283" t="s">
        <v>78</v>
      </c>
      <c r="T12" s="299" t="s">
        <v>79</v>
      </c>
      <c r="U12" s="3"/>
      <c r="V12" s="341" t="s">
        <v>82</v>
      </c>
      <c r="W12" s="337" t="s">
        <v>83</v>
      </c>
      <c r="X12" s="335" t="s">
        <v>85</v>
      </c>
      <c r="Y12" s="337" t="s">
        <v>84</v>
      </c>
      <c r="Z12" s="339" t="s">
        <v>86</v>
      </c>
    </row>
    <row r="13" spans="2:37" ht="72.75" customHeight="1" thickBot="1">
      <c r="B13" s="288"/>
      <c r="C13" s="289"/>
      <c r="D13" s="293"/>
      <c r="E13" s="295" t="s">
        <v>93</v>
      </c>
      <c r="F13" s="296"/>
      <c r="G13" s="297" t="s">
        <v>94</v>
      </c>
      <c r="H13" s="298"/>
      <c r="I13" s="277" t="s">
        <v>95</v>
      </c>
      <c r="J13" s="278"/>
      <c r="K13" s="262" t="s">
        <v>96</v>
      </c>
      <c r="L13" s="263"/>
      <c r="M13" s="264"/>
      <c r="N13" s="272" t="s">
        <v>97</v>
      </c>
      <c r="O13" s="273"/>
      <c r="P13" s="115"/>
      <c r="Q13" s="281"/>
      <c r="R13" s="282"/>
      <c r="S13" s="284"/>
      <c r="T13" s="300"/>
      <c r="U13" s="3"/>
      <c r="V13" s="342"/>
      <c r="W13" s="338"/>
      <c r="X13" s="336"/>
      <c r="Y13" s="338"/>
      <c r="Z13" s="340"/>
    </row>
    <row r="14" spans="2:37" ht="129" customHeight="1" thickBot="1">
      <c r="B14" s="290"/>
      <c r="C14" s="291"/>
      <c r="D14" s="294"/>
      <c r="E14" s="106" t="s">
        <v>0</v>
      </c>
      <c r="F14" s="107" t="s">
        <v>69</v>
      </c>
      <c r="G14" s="108" t="s">
        <v>0</v>
      </c>
      <c r="H14" s="109" t="s">
        <v>69</v>
      </c>
      <c r="I14" s="110" t="s">
        <v>0</v>
      </c>
      <c r="J14" s="111" t="s">
        <v>69</v>
      </c>
      <c r="K14" s="112" t="s">
        <v>0</v>
      </c>
      <c r="L14" s="113" t="s">
        <v>69</v>
      </c>
      <c r="M14" s="112" t="s">
        <v>25</v>
      </c>
      <c r="N14" s="114" t="s">
        <v>0</v>
      </c>
      <c r="O14" s="114" t="s">
        <v>1</v>
      </c>
      <c r="P14" s="114" t="s">
        <v>25</v>
      </c>
      <c r="Q14" s="36" t="s">
        <v>80</v>
      </c>
      <c r="R14" s="37" t="s">
        <v>70</v>
      </c>
      <c r="S14" s="285"/>
      <c r="T14" s="301"/>
      <c r="U14" s="3"/>
      <c r="V14" s="70"/>
      <c r="W14" s="71"/>
      <c r="X14" s="72"/>
      <c r="Y14" s="71"/>
      <c r="Z14" s="73"/>
      <c r="AK14" s="44">
        <v>32</v>
      </c>
    </row>
    <row r="15" spans="2:37" ht="72.599999999999994" customHeight="1" thickBot="1">
      <c r="B15" s="323">
        <v>1</v>
      </c>
      <c r="C15" s="136" t="s">
        <v>103</v>
      </c>
      <c r="D15" s="347">
        <v>36</v>
      </c>
      <c r="E15" s="91"/>
      <c r="F15" s="92"/>
      <c r="G15" s="92"/>
      <c r="H15" s="92"/>
      <c r="I15" s="121">
        <v>18</v>
      </c>
      <c r="J15" s="121">
        <v>18</v>
      </c>
      <c r="K15" s="121">
        <v>4</v>
      </c>
      <c r="L15" s="121">
        <v>35</v>
      </c>
      <c r="M15" s="121">
        <v>53</v>
      </c>
      <c r="N15" s="121">
        <v>22</v>
      </c>
      <c r="O15" s="122">
        <v>18</v>
      </c>
      <c r="P15" s="93"/>
      <c r="Q15" s="314">
        <f>SUM(E15:P15)</f>
        <v>168</v>
      </c>
      <c r="R15" s="316">
        <v>8</v>
      </c>
      <c r="S15" s="215">
        <v>350</v>
      </c>
      <c r="T15" s="217">
        <f>SUM(S15-Q15)</f>
        <v>182</v>
      </c>
      <c r="U15" s="3"/>
      <c r="V15" s="74">
        <f>SUM(E15,F15)</f>
        <v>0</v>
      </c>
      <c r="W15" s="75">
        <f>SUM(G15,H15)</f>
        <v>0</v>
      </c>
      <c r="X15" s="76">
        <f>SUM(I15,J15)</f>
        <v>36</v>
      </c>
      <c r="Y15" s="75">
        <f>SUM(K15,L15,M15,)</f>
        <v>92</v>
      </c>
      <c r="Z15" s="77">
        <f>SUM(N15,O15,P15)</f>
        <v>40</v>
      </c>
      <c r="AK15" s="45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ht="72.599999999999994" customHeight="1" thickBot="1">
      <c r="B16" s="324"/>
      <c r="C16" s="137" t="s">
        <v>106</v>
      </c>
      <c r="D16" s="348"/>
      <c r="E16" s="94" t="str">
        <f t="shared" ref="E16:P16" si="1">IF(E15=0, "", IF(MOD(E15, $D$15) = 0, E15 / $D$15, IF(INT(E15 / $D$15) = 0, MOD(E15, $D$15) &amp; " P", INT(E15 / $D$15) &amp; " + " &amp; MOD(E15, $D$15) &amp; " P")))</f>
        <v/>
      </c>
      <c r="F16" s="94" t="str">
        <f t="shared" si="1"/>
        <v/>
      </c>
      <c r="G16" s="94" t="str">
        <f t="shared" si="1"/>
        <v/>
      </c>
      <c r="H16" s="94" t="str">
        <f t="shared" si="1"/>
        <v/>
      </c>
      <c r="I16" s="123" t="str">
        <f t="shared" si="1"/>
        <v>18 P</v>
      </c>
      <c r="J16" s="123" t="str">
        <f t="shared" si="1"/>
        <v>18 P</v>
      </c>
      <c r="K16" s="123" t="str">
        <f t="shared" si="1"/>
        <v>4 P</v>
      </c>
      <c r="L16" s="123" t="str">
        <f t="shared" si="1"/>
        <v>35 P</v>
      </c>
      <c r="M16" s="123" t="str">
        <f t="shared" si="1"/>
        <v>1 + 17 P</v>
      </c>
      <c r="N16" s="123" t="str">
        <f t="shared" si="1"/>
        <v>22 P</v>
      </c>
      <c r="O16" s="123" t="str">
        <f t="shared" si="1"/>
        <v>18 P</v>
      </c>
      <c r="P16" s="94" t="str">
        <f t="shared" si="1"/>
        <v/>
      </c>
      <c r="Q16" s="315"/>
      <c r="R16" s="317"/>
      <c r="S16" s="216"/>
      <c r="T16" s="218"/>
      <c r="U16" s="3"/>
      <c r="V16" s="78"/>
      <c r="W16" s="79"/>
      <c r="X16" s="80"/>
      <c r="Y16" s="75"/>
      <c r="Z16" s="81"/>
      <c r="AK16" s="49">
        <v>129</v>
      </c>
    </row>
    <row r="17" spans="2:37" ht="72.599999999999994" customHeight="1" thickBot="1">
      <c r="B17" s="323">
        <v>2</v>
      </c>
      <c r="C17" s="138" t="s">
        <v>61</v>
      </c>
      <c r="D17" s="345">
        <v>32</v>
      </c>
      <c r="E17" s="91"/>
      <c r="F17" s="92"/>
      <c r="G17" s="92"/>
      <c r="H17" s="92"/>
      <c r="I17" s="124">
        <v>67</v>
      </c>
      <c r="J17" s="124">
        <v>53</v>
      </c>
      <c r="K17" s="124">
        <v>5</v>
      </c>
      <c r="L17" s="121">
        <v>104</v>
      </c>
      <c r="M17" s="121">
        <v>180</v>
      </c>
      <c r="N17" s="121">
        <v>23</v>
      </c>
      <c r="O17" s="122">
        <v>23</v>
      </c>
      <c r="P17" s="93"/>
      <c r="Q17" s="314">
        <f>SUM(E17:P17)</f>
        <v>455</v>
      </c>
      <c r="R17" s="316">
        <v>18</v>
      </c>
      <c r="S17" s="215">
        <v>790</v>
      </c>
      <c r="T17" s="217">
        <f>SUM(S17-Q17)</f>
        <v>335</v>
      </c>
      <c r="U17" s="3"/>
      <c r="V17" s="74">
        <f>SUM(E17,F17)</f>
        <v>0</v>
      </c>
      <c r="W17" s="79">
        <f>SUM(G17,H17)</f>
        <v>0</v>
      </c>
      <c r="X17" s="80">
        <f>SUM(I17,J17)</f>
        <v>120</v>
      </c>
      <c r="Y17" s="75">
        <f>SUM(K17,L17,M17,)</f>
        <v>289</v>
      </c>
      <c r="Z17" s="77">
        <f>SUM(N17,O17,P17)</f>
        <v>46</v>
      </c>
      <c r="AK17" s="50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ht="72.599999999999994" customHeight="1" thickBot="1">
      <c r="B18" s="324"/>
      <c r="C18" s="139" t="s">
        <v>110</v>
      </c>
      <c r="D18" s="346"/>
      <c r="E18" s="94" t="str">
        <f t="shared" ref="E18:P18" si="3">IF(E17=0, "", IF(MOD(E17, $D$17) = 0, E17 / $D$17, IF(INT(E17 / $D$17) = 0, MOD(E17, $D$17) &amp; " P", INT(E17 / $D$17) &amp; " + " &amp; MOD(E17, $D$17) &amp; " P")))</f>
        <v/>
      </c>
      <c r="F18" s="94" t="str">
        <f t="shared" si="3"/>
        <v/>
      </c>
      <c r="G18" s="94" t="str">
        <f t="shared" si="3"/>
        <v/>
      </c>
      <c r="H18" s="94" t="str">
        <f t="shared" si="3"/>
        <v/>
      </c>
      <c r="I18" s="123" t="str">
        <f t="shared" si="3"/>
        <v>2 + 3 P</v>
      </c>
      <c r="J18" s="123" t="str">
        <f>IF(J17=0, "", IF(MOD(J17, $D$17) = 0, J17 / $D$17, IF(INT(J17 / $D$17) = 0, MOD(J17, $D$17) &amp; " P", INT(J17 / $D$17) &amp; " + " &amp; MOD(J17, $D$17) &amp; " P")))</f>
        <v>1 + 21 P</v>
      </c>
      <c r="K18" s="123" t="str">
        <f t="shared" si="3"/>
        <v>5 P</v>
      </c>
      <c r="L18" s="123" t="str">
        <f t="shared" si="3"/>
        <v>3 + 8 P</v>
      </c>
      <c r="M18" s="123" t="str">
        <f t="shared" si="3"/>
        <v>5 + 20 P</v>
      </c>
      <c r="N18" s="123" t="str">
        <f t="shared" si="3"/>
        <v>23 P</v>
      </c>
      <c r="O18" s="123" t="str">
        <f t="shared" si="3"/>
        <v>23 P</v>
      </c>
      <c r="P18" s="94" t="str">
        <f t="shared" si="3"/>
        <v/>
      </c>
      <c r="Q18" s="315"/>
      <c r="R18" s="317"/>
      <c r="S18" s="216"/>
      <c r="T18" s="218"/>
      <c r="U18" s="3"/>
      <c r="V18" s="78"/>
      <c r="W18" s="79"/>
      <c r="X18" s="80"/>
      <c r="Y18" s="75"/>
      <c r="Z18" s="81"/>
      <c r="AK18" s="51">
        <v>54</v>
      </c>
    </row>
    <row r="19" spans="2:37" ht="72.599999999999994" customHeight="1" thickBot="1">
      <c r="B19" s="323">
        <v>3</v>
      </c>
      <c r="C19" s="138" t="s">
        <v>127</v>
      </c>
      <c r="D19" s="345">
        <v>36</v>
      </c>
      <c r="E19" s="95"/>
      <c r="F19" s="96"/>
      <c r="G19" s="96"/>
      <c r="H19" s="96"/>
      <c r="I19" s="127">
        <v>6</v>
      </c>
      <c r="J19" s="127">
        <v>5</v>
      </c>
      <c r="K19" s="127">
        <v>2</v>
      </c>
      <c r="L19" s="126">
        <v>26</v>
      </c>
      <c r="M19" s="126">
        <v>65</v>
      </c>
      <c r="N19" s="126">
        <v>7</v>
      </c>
      <c r="O19" s="128">
        <v>6</v>
      </c>
      <c r="P19" s="98"/>
      <c r="Q19" s="314">
        <f>SUM(E19:P19)</f>
        <v>117</v>
      </c>
      <c r="R19" s="316">
        <v>8</v>
      </c>
      <c r="S19" s="215">
        <v>240</v>
      </c>
      <c r="T19" s="217">
        <f>SUM(S19-Q19)</f>
        <v>123</v>
      </c>
      <c r="U19" s="3"/>
      <c r="V19" s="78">
        <f>SUM(E19,F19)</f>
        <v>0</v>
      </c>
      <c r="W19" s="79">
        <f>SUM(G19,H19)</f>
        <v>0</v>
      </c>
      <c r="X19" s="80">
        <f>SUM(I19,J19)</f>
        <v>11</v>
      </c>
      <c r="Y19" s="75">
        <f>SUM(K19,L19,M19,)</f>
        <v>93</v>
      </c>
      <c r="Z19" s="77">
        <f>SUM(N19,O19,P19)</f>
        <v>13</v>
      </c>
      <c r="AK19" s="50" t="str">
        <f t="shared" ref="AK19" si="4">IF(AK18=0, "", IF(MOD(AK18, $D$19) = 0, AK18/ $D$19, IF(INT(AK18 / $D$19) = 0, MOD(AK18, $D$19) &amp; " P", INT(AK18 / $D$19) &amp; " + " &amp; MOD(AK18, $D$19) &amp; " P")))</f>
        <v>1 + 18 P</v>
      </c>
    </row>
    <row r="20" spans="2:37" ht="72" customHeight="1" thickBot="1">
      <c r="B20" s="324"/>
      <c r="C20" s="140" t="s">
        <v>128</v>
      </c>
      <c r="D20" s="346"/>
      <c r="E20" s="94" t="str">
        <f t="shared" ref="E20:P20" si="5">IF(E19=0, "", IF(MOD(E19, $D$19) = 0, E19/ $D$19, IF(INT(E19 / $D$19) = 0, MOD(E19, $D$19) &amp; " P", INT(E19 / $D$19) &amp; " + " &amp; MOD(E19, $D$19) &amp; " P")))</f>
        <v/>
      </c>
      <c r="F20" s="94" t="str">
        <f t="shared" si="5"/>
        <v/>
      </c>
      <c r="G20" s="94" t="str">
        <f t="shared" si="5"/>
        <v/>
      </c>
      <c r="H20" s="94" t="str">
        <f t="shared" si="5"/>
        <v/>
      </c>
      <c r="I20" s="123" t="str">
        <f t="shared" si="5"/>
        <v>6 P</v>
      </c>
      <c r="J20" s="123" t="str">
        <f t="shared" si="5"/>
        <v>5 P</v>
      </c>
      <c r="K20" s="123" t="str">
        <f t="shared" si="5"/>
        <v>2 P</v>
      </c>
      <c r="L20" s="123" t="str">
        <f t="shared" si="5"/>
        <v>26 P</v>
      </c>
      <c r="M20" s="123" t="str">
        <f t="shared" si="5"/>
        <v>1 + 29 P</v>
      </c>
      <c r="N20" s="123" t="str">
        <f t="shared" si="5"/>
        <v>7 P</v>
      </c>
      <c r="O20" s="123" t="str">
        <f t="shared" si="5"/>
        <v>6 P</v>
      </c>
      <c r="P20" s="94" t="str">
        <f t="shared" si="5"/>
        <v/>
      </c>
      <c r="Q20" s="315"/>
      <c r="R20" s="317"/>
      <c r="S20" s="216"/>
      <c r="T20" s="218"/>
      <c r="U20" s="3"/>
      <c r="V20" s="78"/>
      <c r="W20" s="79"/>
      <c r="X20" s="80"/>
      <c r="Y20" s="75"/>
      <c r="Z20" s="81"/>
      <c r="AK20" s="49">
        <v>12</v>
      </c>
    </row>
    <row r="21" spans="2:37" ht="72.599999999999994" customHeight="1" thickBot="1">
      <c r="B21" s="323">
        <v>4</v>
      </c>
      <c r="C21" s="138" t="s">
        <v>62</v>
      </c>
      <c r="D21" s="345">
        <v>32</v>
      </c>
      <c r="E21" s="91"/>
      <c r="F21" s="92"/>
      <c r="G21" s="92"/>
      <c r="H21" s="92"/>
      <c r="I21" s="124">
        <v>97</v>
      </c>
      <c r="J21" s="124">
        <v>83</v>
      </c>
      <c r="K21" s="124">
        <v>5</v>
      </c>
      <c r="L21" s="121">
        <v>104</v>
      </c>
      <c r="M21" s="121">
        <v>172</v>
      </c>
      <c r="N21" s="121">
        <v>42</v>
      </c>
      <c r="O21" s="122">
        <v>68</v>
      </c>
      <c r="P21" s="93"/>
      <c r="Q21" s="314">
        <f>SUM(E21:P21)</f>
        <v>571</v>
      </c>
      <c r="R21" s="316">
        <v>23</v>
      </c>
      <c r="S21" s="215">
        <v>1272</v>
      </c>
      <c r="T21" s="217">
        <f>SUM(S21-Q21)</f>
        <v>701</v>
      </c>
      <c r="U21" s="3"/>
      <c r="V21" s="78">
        <f>SUM(E21,F21)</f>
        <v>0</v>
      </c>
      <c r="W21" s="79">
        <f>SUM(G21,H21)</f>
        <v>0</v>
      </c>
      <c r="X21" s="80">
        <f>SUM(I21,J21)</f>
        <v>180</v>
      </c>
      <c r="Y21" s="75">
        <f>SUM(K21,L21,M21,)</f>
        <v>281</v>
      </c>
      <c r="Z21" s="77">
        <f>SUM(N21,O21,P21)</f>
        <v>110</v>
      </c>
      <c r="AK21" s="50" t="str">
        <f t="shared" ref="AK21" si="6">IF(AK20=0, "", IF(MOD(AK20, $D$21) = 0, AK20/ $D$21, IF(INT(AK20 / $D$21) = 0, MOD(AK20, $D$21) &amp; " P", INT(AK20 / $D$21) &amp; " + " &amp; MOD(AK20, $D$21) &amp; " P")))</f>
        <v>12 P</v>
      </c>
    </row>
    <row r="22" spans="2:37" ht="72.599999999999994" customHeight="1" thickBot="1">
      <c r="B22" s="324"/>
      <c r="C22" s="139" t="s">
        <v>111</v>
      </c>
      <c r="D22" s="346"/>
      <c r="E22" s="94" t="str">
        <f t="shared" ref="E22:P22" si="7">IF(E21=0, "", IF(MOD(E21, $D$21) = 0, E21/ $D$21, IF(INT(E21 / $D$21) = 0, MOD(E21, $D$21) &amp; " P", INT(E21 / $D$21) &amp; " + " &amp; MOD(E21, $D$21) &amp; " P")))</f>
        <v/>
      </c>
      <c r="F22" s="94" t="str">
        <f t="shared" si="7"/>
        <v/>
      </c>
      <c r="G22" s="94" t="str">
        <f t="shared" si="7"/>
        <v/>
      </c>
      <c r="H22" s="94" t="str">
        <f t="shared" si="7"/>
        <v/>
      </c>
      <c r="I22" s="123" t="str">
        <f t="shared" si="7"/>
        <v>3 + 1 P</v>
      </c>
      <c r="J22" s="123" t="str">
        <f t="shared" si="7"/>
        <v>2 + 19 P</v>
      </c>
      <c r="K22" s="123" t="str">
        <f t="shared" si="7"/>
        <v>5 P</v>
      </c>
      <c r="L22" s="123" t="str">
        <f t="shared" si="7"/>
        <v>3 + 8 P</v>
      </c>
      <c r="M22" s="123" t="str">
        <f t="shared" si="7"/>
        <v>5 + 12 P</v>
      </c>
      <c r="N22" s="123" t="str">
        <f t="shared" si="7"/>
        <v>1 + 10 P</v>
      </c>
      <c r="O22" s="123" t="str">
        <f t="shared" si="7"/>
        <v>2 + 4 P</v>
      </c>
      <c r="P22" s="94" t="str">
        <f t="shared" si="7"/>
        <v/>
      </c>
      <c r="Q22" s="315"/>
      <c r="R22" s="317"/>
      <c r="S22" s="216"/>
      <c r="T22" s="218"/>
      <c r="U22" s="3"/>
      <c r="V22" s="78"/>
      <c r="W22" s="79"/>
      <c r="X22" s="80"/>
      <c r="Y22" s="75"/>
      <c r="Z22" s="81"/>
      <c r="AK22" s="47">
        <v>227</v>
      </c>
    </row>
    <row r="23" spans="2:37" ht="72.599999999999994" customHeight="1" thickBot="1">
      <c r="B23" s="118">
        <v>5</v>
      </c>
      <c r="C23" s="141" t="s">
        <v>108</v>
      </c>
      <c r="D23" s="345">
        <v>18</v>
      </c>
      <c r="E23" s="99"/>
      <c r="F23" s="100"/>
      <c r="G23" s="100"/>
      <c r="H23" s="100"/>
      <c r="I23" s="131">
        <v>3</v>
      </c>
      <c r="J23" s="131">
        <v>1</v>
      </c>
      <c r="K23" s="131">
        <v>1</v>
      </c>
      <c r="L23" s="130">
        <v>9</v>
      </c>
      <c r="M23" s="130">
        <v>21</v>
      </c>
      <c r="N23" s="130">
        <v>3</v>
      </c>
      <c r="O23" s="132">
        <v>2</v>
      </c>
      <c r="P23" s="101"/>
      <c r="Q23" s="314">
        <f>SUM(E23:P23)</f>
        <v>40</v>
      </c>
      <c r="R23" s="316">
        <v>8</v>
      </c>
      <c r="S23" s="215">
        <v>100</v>
      </c>
      <c r="T23" s="217">
        <f>SUM(S23-Q23)</f>
        <v>60</v>
      </c>
      <c r="U23" s="3"/>
      <c r="V23" s="78">
        <f>SUM(E23,F23)</f>
        <v>0</v>
      </c>
      <c r="W23" s="79">
        <f>SUM(G23,H23)</f>
        <v>0</v>
      </c>
      <c r="X23" s="80">
        <f>SUM(I23,J23)</f>
        <v>4</v>
      </c>
      <c r="Y23" s="75">
        <f>SUM(K23,L23,M23,)</f>
        <v>31</v>
      </c>
      <c r="Z23" s="77">
        <f>SUM(N23,O23,P23)</f>
        <v>5</v>
      </c>
      <c r="AK23" s="48" t="str">
        <f t="shared" ref="AK23" si="8">IF(AK22=0, "", IF(MOD(AK22, $D$23) = 0, AK22/ $D$23, IF(INT(AK22 / $D$23) = 0, MOD(AK22, $D$23) &amp; " P", INT(AK22 / $D$23) &amp; " + " &amp; MOD(AK22, $D$23) &amp; " P")))</f>
        <v>12 + 11 P</v>
      </c>
    </row>
    <row r="24" spans="2:37" ht="72.599999999999994" customHeight="1" thickBot="1">
      <c r="B24" s="119"/>
      <c r="C24" s="139" t="s">
        <v>112</v>
      </c>
      <c r="D24" s="346"/>
      <c r="E24" s="102" t="str">
        <f t="shared" ref="E24:P24" si="9">IF(E23=0, "", IF(MOD(E23, $D$23) = 0, E23/ $D$23, IF(INT(E23 / $D$23) = 0, MOD(E23, $D$23) &amp; " P", INT(E23 / $D$23) &amp; " + " &amp; MOD(E23, $D$23) &amp; " P")))</f>
        <v/>
      </c>
      <c r="F24" s="102" t="str">
        <f t="shared" si="9"/>
        <v/>
      </c>
      <c r="G24" s="102" t="str">
        <f t="shared" si="9"/>
        <v/>
      </c>
      <c r="H24" s="102" t="str">
        <f t="shared" si="9"/>
        <v/>
      </c>
      <c r="I24" s="133" t="str">
        <f t="shared" si="9"/>
        <v>3 P</v>
      </c>
      <c r="J24" s="133" t="str">
        <f t="shared" si="9"/>
        <v>1 P</v>
      </c>
      <c r="K24" s="133" t="str">
        <f t="shared" si="9"/>
        <v>1 P</v>
      </c>
      <c r="L24" s="133" t="str">
        <f t="shared" si="9"/>
        <v>9 P</v>
      </c>
      <c r="M24" s="133" t="str">
        <f t="shared" si="9"/>
        <v>1 + 3 P</v>
      </c>
      <c r="N24" s="133" t="str">
        <f t="shared" si="9"/>
        <v>3 P</v>
      </c>
      <c r="O24" s="133" t="str">
        <f t="shared" si="9"/>
        <v>2 P</v>
      </c>
      <c r="P24" s="102" t="str">
        <f t="shared" si="9"/>
        <v/>
      </c>
      <c r="Q24" s="315"/>
      <c r="R24" s="317"/>
      <c r="S24" s="216"/>
      <c r="T24" s="218"/>
      <c r="U24" s="3"/>
      <c r="V24" s="78"/>
      <c r="W24" s="79"/>
      <c r="X24" s="80"/>
      <c r="Y24" s="75"/>
      <c r="Z24" s="81"/>
      <c r="AK24" s="49">
        <v>25</v>
      </c>
    </row>
    <row r="25" spans="2:37" ht="72.599999999999994" customHeight="1" thickBot="1">
      <c r="B25" s="118">
        <v>6</v>
      </c>
      <c r="C25" s="142" t="s">
        <v>63</v>
      </c>
      <c r="D25" s="343">
        <v>36</v>
      </c>
      <c r="E25" s="91"/>
      <c r="F25" s="92"/>
      <c r="G25" s="92"/>
      <c r="H25" s="92"/>
      <c r="I25" s="124">
        <v>31</v>
      </c>
      <c r="J25" s="124">
        <v>9</v>
      </c>
      <c r="K25" s="124">
        <v>6</v>
      </c>
      <c r="L25" s="121">
        <v>124</v>
      </c>
      <c r="M25" s="121">
        <v>230</v>
      </c>
      <c r="N25" s="121">
        <v>17</v>
      </c>
      <c r="O25" s="122">
        <v>20</v>
      </c>
      <c r="P25" s="93"/>
      <c r="Q25" s="314">
        <f>SUM(E25:P25)</f>
        <v>437</v>
      </c>
      <c r="R25" s="316">
        <v>16</v>
      </c>
      <c r="S25" s="215">
        <v>650</v>
      </c>
      <c r="T25" s="217">
        <f>SUM(S25-Q25)</f>
        <v>213</v>
      </c>
      <c r="U25" s="3"/>
      <c r="V25" s="78">
        <f>SUM(E25,F25)</f>
        <v>0</v>
      </c>
      <c r="W25" s="79">
        <f>SUM(G25,H25)</f>
        <v>0</v>
      </c>
      <c r="X25" s="80">
        <f>SUM(I25,J25)</f>
        <v>40</v>
      </c>
      <c r="Y25" s="75">
        <f>SUM(K25,L25,M25,)</f>
        <v>360</v>
      </c>
      <c r="Z25" s="77">
        <f>SUM(N25,O25,P25)</f>
        <v>37</v>
      </c>
      <c r="AK25" s="50" t="str">
        <f t="shared" ref="AK25" si="10">IF(AK24=0, "", IF(MOD(AK24, $D$25) = 0, AK24/ $D$25, IF(INT(AK24 / $D$25) = 0, MOD(AK24, $D$25) &amp; " P", INT(AK24 / $D$25) &amp; " + " &amp; MOD(AK24, $D$25) &amp; " P")))</f>
        <v>25 P</v>
      </c>
    </row>
    <row r="26" spans="2:37" ht="72.599999999999994" customHeight="1" thickBot="1">
      <c r="B26" s="119"/>
      <c r="C26" s="139" t="s">
        <v>113</v>
      </c>
      <c r="D26" s="344"/>
      <c r="E26" s="94" t="str">
        <f t="shared" ref="E26:P26" si="11">IF(E25=0, "", IF(MOD(E25, $D$25) = 0, E25/ $D$25, IF(INT(E25 / $D$25) = 0, MOD(E25, $D$25) &amp; " P", INT(E25 / $D$25) &amp; " + " &amp; MOD(E25, $D$25) &amp; " P")))</f>
        <v/>
      </c>
      <c r="F26" s="94" t="str">
        <f t="shared" si="11"/>
        <v/>
      </c>
      <c r="G26" s="94" t="str">
        <f t="shared" si="11"/>
        <v/>
      </c>
      <c r="H26" s="94" t="str">
        <f t="shared" si="11"/>
        <v/>
      </c>
      <c r="I26" s="123" t="str">
        <f t="shared" si="11"/>
        <v>31 P</v>
      </c>
      <c r="J26" s="123" t="str">
        <f t="shared" si="11"/>
        <v>9 P</v>
      </c>
      <c r="K26" s="123" t="str">
        <f t="shared" si="11"/>
        <v>6 P</v>
      </c>
      <c r="L26" s="123" t="str">
        <f t="shared" si="11"/>
        <v>3 + 16 P</v>
      </c>
      <c r="M26" s="123" t="str">
        <f t="shared" si="11"/>
        <v>6 + 14 P</v>
      </c>
      <c r="N26" s="123" t="str">
        <f t="shared" si="11"/>
        <v>17 P</v>
      </c>
      <c r="O26" s="123" t="str">
        <f t="shared" si="11"/>
        <v>20 P</v>
      </c>
      <c r="P26" s="94" t="str">
        <f t="shared" si="11"/>
        <v/>
      </c>
      <c r="Q26" s="315"/>
      <c r="R26" s="317"/>
      <c r="S26" s="216"/>
      <c r="T26" s="218"/>
      <c r="U26" s="3"/>
      <c r="V26" s="78"/>
      <c r="W26" s="79"/>
      <c r="X26" s="80"/>
      <c r="Y26" s="75"/>
      <c r="Z26" s="81"/>
      <c r="AK26" s="49">
        <v>2</v>
      </c>
    </row>
    <row r="27" spans="2:37" ht="72.599999999999994" customHeight="1" thickBot="1">
      <c r="B27" s="118">
        <v>7</v>
      </c>
      <c r="C27" s="138" t="s">
        <v>104</v>
      </c>
      <c r="D27" s="343">
        <v>20</v>
      </c>
      <c r="E27" s="91"/>
      <c r="F27" s="92"/>
      <c r="G27" s="92"/>
      <c r="H27" s="92"/>
      <c r="I27" s="124">
        <v>8</v>
      </c>
      <c r="J27" s="124">
        <v>2</v>
      </c>
      <c r="K27" s="124">
        <v>0</v>
      </c>
      <c r="L27" s="121">
        <v>14</v>
      </c>
      <c r="M27" s="121">
        <v>37</v>
      </c>
      <c r="N27" s="121">
        <v>6</v>
      </c>
      <c r="O27" s="122">
        <v>8</v>
      </c>
      <c r="P27" s="93"/>
      <c r="Q27" s="314">
        <f>SUM(E27:P27)</f>
        <v>75</v>
      </c>
      <c r="R27" s="316">
        <v>7</v>
      </c>
      <c r="S27" s="215">
        <v>140</v>
      </c>
      <c r="T27" s="217">
        <f>SUM(S27-Q27)</f>
        <v>65</v>
      </c>
      <c r="U27" s="3"/>
      <c r="V27" s="74">
        <f>SUM(E27,F27)</f>
        <v>0</v>
      </c>
      <c r="W27" s="79">
        <f>SUM(G27,H27)</f>
        <v>0</v>
      </c>
      <c r="X27" s="80">
        <f>SUM(I27,J27)</f>
        <v>10</v>
      </c>
      <c r="Y27" s="75">
        <f>SUM(K27,L27,M27,)</f>
        <v>51</v>
      </c>
      <c r="Z27" s="77">
        <f>SUM(N27,O27,P27)</f>
        <v>14</v>
      </c>
      <c r="AK27" s="50" t="str">
        <f t="shared" ref="AK27" si="12">IF(AK26=0, "", IF(MOD(AK26, $D$27) = 0, AK26/ $D$27, IF(INT(AK26 / $D$27) = 0, MOD(AK26, $D$27) &amp; " P", INT(AK26 / $D$27) &amp; " + " &amp; MOD(AK26, $D$27) &amp; " P")))</f>
        <v>2 P</v>
      </c>
    </row>
    <row r="28" spans="2:37" ht="72.599999999999994" customHeight="1" thickBot="1">
      <c r="B28" s="119"/>
      <c r="C28" s="140" t="s">
        <v>107</v>
      </c>
      <c r="D28" s="344"/>
      <c r="E28" s="94" t="str">
        <f t="shared" ref="E28:P28" si="13">IF(E27=0, "", IF(MOD(E27, $D$27) = 0, E27/ $D$27, IF(INT(E27 / $D$27) = 0, MOD(E27, $D$27) &amp; " P", INT(E27 / $D$27) &amp; " + " &amp; MOD(E27, $D$27) &amp; " P")))</f>
        <v/>
      </c>
      <c r="F28" s="94" t="str">
        <f t="shared" si="13"/>
        <v/>
      </c>
      <c r="G28" s="94" t="str">
        <f t="shared" si="13"/>
        <v/>
      </c>
      <c r="H28" s="94" t="str">
        <f t="shared" si="13"/>
        <v/>
      </c>
      <c r="I28" s="123" t="str">
        <f t="shared" si="13"/>
        <v>8 P</v>
      </c>
      <c r="J28" s="123" t="str">
        <f t="shared" si="13"/>
        <v>2 P</v>
      </c>
      <c r="K28" s="123" t="str">
        <f t="shared" si="13"/>
        <v/>
      </c>
      <c r="L28" s="123" t="str">
        <f t="shared" si="13"/>
        <v>14 P</v>
      </c>
      <c r="M28" s="123" t="str">
        <f t="shared" si="13"/>
        <v>1 + 17 P</v>
      </c>
      <c r="N28" s="123" t="str">
        <f t="shared" si="13"/>
        <v>6 P</v>
      </c>
      <c r="O28" s="123" t="str">
        <f t="shared" si="13"/>
        <v>8 P</v>
      </c>
      <c r="P28" s="94" t="str">
        <f t="shared" si="13"/>
        <v/>
      </c>
      <c r="Q28" s="315"/>
      <c r="R28" s="317"/>
      <c r="S28" s="216"/>
      <c r="T28" s="218"/>
      <c r="U28" s="3"/>
      <c r="V28" s="74"/>
      <c r="W28" s="79"/>
      <c r="X28" s="80"/>
      <c r="Y28" s="75"/>
      <c r="Z28" s="81"/>
      <c r="AK28" s="51">
        <v>74</v>
      </c>
    </row>
    <row r="29" spans="2:37" ht="72.599999999999994" customHeight="1" thickBot="1">
      <c r="B29" s="118">
        <v>8</v>
      </c>
      <c r="C29" s="142" t="s">
        <v>129</v>
      </c>
      <c r="D29" s="343">
        <v>15</v>
      </c>
      <c r="E29" s="95"/>
      <c r="F29" s="96"/>
      <c r="G29" s="96"/>
      <c r="H29" s="96"/>
      <c r="I29" s="127">
        <v>6</v>
      </c>
      <c r="J29" s="127">
        <v>9</v>
      </c>
      <c r="K29" s="127">
        <v>0</v>
      </c>
      <c r="L29" s="126">
        <v>24</v>
      </c>
      <c r="M29" s="126">
        <v>57</v>
      </c>
      <c r="N29" s="126">
        <v>11</v>
      </c>
      <c r="O29" s="128">
        <v>15</v>
      </c>
      <c r="P29" s="98"/>
      <c r="Q29" s="314">
        <f>SUM(E29:P29)</f>
        <v>122</v>
      </c>
      <c r="R29" s="316">
        <v>10</v>
      </c>
      <c r="S29" s="215">
        <v>240</v>
      </c>
      <c r="T29" s="217">
        <f>SUM(S29-Q29)</f>
        <v>118</v>
      </c>
      <c r="U29" s="3"/>
      <c r="V29" s="74">
        <f>SUM(E29,F29)</f>
        <v>0</v>
      </c>
      <c r="W29" s="75">
        <f>SUM(G29,H29)</f>
        <v>0</v>
      </c>
      <c r="X29" s="76">
        <f>SUM(I29,J29)</f>
        <v>15</v>
      </c>
      <c r="Y29" s="75">
        <f>SUM(K29,L29,M29,)</f>
        <v>81</v>
      </c>
      <c r="Z29" s="77">
        <f>SUM(N29,O29,P29)</f>
        <v>26</v>
      </c>
      <c r="AK29" s="45" t="str">
        <f>IF(AK28=0, "", IF(MOD(AK28, $D$29) = 0, AK28/ $D$29, IF(INT(AK28 / $D$29) = 0, MOD(AK28, $D$29) &amp; " P", INT(AK28 / $D$29) &amp; " + " &amp; MOD(AK28, $D$29) &amp; " P")))</f>
        <v>4 + 14 P</v>
      </c>
    </row>
    <row r="30" spans="2:37" ht="72.599999999999994" customHeight="1" thickBot="1">
      <c r="B30" s="119"/>
      <c r="C30" s="139" t="s">
        <v>130</v>
      </c>
      <c r="D30" s="344"/>
      <c r="E30" s="94" t="str">
        <f t="shared" ref="E30:P30" si="14">IF(E29=0, "", IF(MOD(E29, $D$29) = 0, E29/ $D$29, IF(INT(E29 / $D$29) = 0, MOD(E29, $D$29) &amp; " P", INT(E29 / $D$29) &amp; " + " &amp; MOD(E29, $D$29) &amp; " P")))</f>
        <v/>
      </c>
      <c r="F30" s="94" t="str">
        <f t="shared" si="14"/>
        <v/>
      </c>
      <c r="G30" s="94" t="str">
        <f t="shared" si="14"/>
        <v/>
      </c>
      <c r="H30" s="94" t="str">
        <f t="shared" si="14"/>
        <v/>
      </c>
      <c r="I30" s="123" t="str">
        <f t="shared" si="14"/>
        <v>6 P</v>
      </c>
      <c r="J30" s="123" t="str">
        <f t="shared" si="14"/>
        <v>9 P</v>
      </c>
      <c r="K30" s="123" t="str">
        <f t="shared" si="14"/>
        <v/>
      </c>
      <c r="L30" s="123" t="str">
        <f t="shared" si="14"/>
        <v>1 + 9 P</v>
      </c>
      <c r="M30" s="123" t="str">
        <f t="shared" si="14"/>
        <v>3 + 12 P</v>
      </c>
      <c r="N30" s="123" t="str">
        <f t="shared" si="14"/>
        <v>11 P</v>
      </c>
      <c r="O30" s="123">
        <f t="shared" si="14"/>
        <v>1</v>
      </c>
      <c r="P30" s="94" t="str">
        <f t="shared" si="14"/>
        <v/>
      </c>
      <c r="Q30" s="315"/>
      <c r="R30" s="317"/>
      <c r="S30" s="216"/>
      <c r="T30" s="218"/>
      <c r="U30" s="3"/>
      <c r="V30" s="74"/>
      <c r="W30" s="79"/>
      <c r="X30" s="80"/>
      <c r="Y30" s="75"/>
      <c r="Z30" s="81"/>
      <c r="AK30" s="46">
        <v>34</v>
      </c>
    </row>
    <row r="31" spans="2:37" ht="72.599999999999994" customHeight="1" thickBot="1">
      <c r="B31" s="118">
        <v>9</v>
      </c>
      <c r="C31" s="142" t="s">
        <v>64</v>
      </c>
      <c r="D31" s="343">
        <v>45</v>
      </c>
      <c r="E31" s="95"/>
      <c r="F31" s="96"/>
      <c r="G31" s="96"/>
      <c r="H31" s="96"/>
      <c r="I31" s="126">
        <v>0</v>
      </c>
      <c r="J31" s="126">
        <v>2</v>
      </c>
      <c r="K31" s="126">
        <v>2</v>
      </c>
      <c r="L31" s="126">
        <v>4</v>
      </c>
      <c r="M31" s="126">
        <v>8</v>
      </c>
      <c r="N31" s="126">
        <v>0</v>
      </c>
      <c r="O31" s="128">
        <v>1</v>
      </c>
      <c r="P31" s="98"/>
      <c r="Q31" s="314">
        <f>SUM(E31:P31)</f>
        <v>17</v>
      </c>
      <c r="R31" s="320">
        <v>5</v>
      </c>
      <c r="S31" s="215">
        <v>70</v>
      </c>
      <c r="T31" s="217">
        <f>SUM(S31-Q31)</f>
        <v>53</v>
      </c>
      <c r="U31" s="3"/>
      <c r="V31" s="74">
        <f>SUM(E31,F31)</f>
        <v>0</v>
      </c>
      <c r="W31" s="75">
        <f>SUM(G31,H31)</f>
        <v>0</v>
      </c>
      <c r="X31" s="76">
        <f>SUM(I31,J31)</f>
        <v>2</v>
      </c>
      <c r="Y31" s="75">
        <f>SUM(K31,L31,M31,)</f>
        <v>14</v>
      </c>
      <c r="Z31" s="77">
        <f>SUM(N31,O31,P31)</f>
        <v>1</v>
      </c>
      <c r="AK31" s="45" t="str">
        <f t="shared" ref="AK31:AK33" si="15">IF(AK30=0, "", IF(MOD(AK30, $D$31) = 0, AK30/ $D$31, IF(INT(AK30 / $D$31) = 0, MOD(AK30, $D$31) &amp; " P", INT(AK30 / $D$31) &amp; " + " &amp; MOD(AK30, $D$31) &amp; " P")))</f>
        <v>34 P</v>
      </c>
    </row>
    <row r="32" spans="2:37" ht="72.599999999999994" customHeight="1" thickBot="1">
      <c r="B32" s="119"/>
      <c r="C32" s="140" t="s">
        <v>114</v>
      </c>
      <c r="D32" s="344"/>
      <c r="E32" s="94" t="str">
        <f t="shared" ref="E32:P32" si="16">IF(E31=0, "", IF(MOD(E31, $D$31) = 0, E31/ $D$31, IF(INT(E31 / $D$31) = 0, MOD(E31, $D$31) &amp; " P", INT(E31 / $D$31) &amp; " + " &amp; MOD(E31, $D$31) &amp; " P")))</f>
        <v/>
      </c>
      <c r="F32" s="94" t="str">
        <f t="shared" si="16"/>
        <v/>
      </c>
      <c r="G32" s="94" t="str">
        <f t="shared" si="16"/>
        <v/>
      </c>
      <c r="H32" s="94" t="str">
        <f t="shared" si="16"/>
        <v/>
      </c>
      <c r="I32" s="123" t="str">
        <f t="shared" si="16"/>
        <v/>
      </c>
      <c r="J32" s="123" t="str">
        <f t="shared" si="16"/>
        <v>2 P</v>
      </c>
      <c r="K32" s="123" t="str">
        <f t="shared" si="16"/>
        <v>2 P</v>
      </c>
      <c r="L32" s="123" t="str">
        <f t="shared" si="16"/>
        <v>4 P</v>
      </c>
      <c r="M32" s="123" t="str">
        <f t="shared" si="16"/>
        <v>8 P</v>
      </c>
      <c r="N32" s="123" t="str">
        <f t="shared" si="16"/>
        <v/>
      </c>
      <c r="O32" s="123" t="str">
        <f t="shared" si="16"/>
        <v>1 P</v>
      </c>
      <c r="P32" s="94" t="str">
        <f t="shared" si="16"/>
        <v/>
      </c>
      <c r="Q32" s="315"/>
      <c r="R32" s="317"/>
      <c r="S32" s="216"/>
      <c r="T32" s="218"/>
      <c r="U32" s="3"/>
      <c r="V32" s="74"/>
      <c r="W32" s="79"/>
      <c r="X32" s="80"/>
      <c r="Y32" s="75"/>
      <c r="Z32" s="81"/>
      <c r="AK32" s="46">
        <v>33</v>
      </c>
    </row>
    <row r="33" spans="2:37" ht="72.599999999999994" customHeight="1" thickBot="1">
      <c r="B33" s="118">
        <v>10</v>
      </c>
      <c r="C33" s="142" t="s">
        <v>133</v>
      </c>
      <c r="D33" s="343">
        <v>15</v>
      </c>
      <c r="E33" s="95"/>
      <c r="F33" s="96"/>
      <c r="G33" s="96"/>
      <c r="H33" s="96"/>
      <c r="I33" s="126">
        <v>16</v>
      </c>
      <c r="J33" s="126">
        <v>20</v>
      </c>
      <c r="K33" s="126">
        <v>1</v>
      </c>
      <c r="L33" s="126">
        <v>28</v>
      </c>
      <c r="M33" s="126">
        <v>79</v>
      </c>
      <c r="N33" s="126">
        <v>16</v>
      </c>
      <c r="O33" s="128">
        <v>19</v>
      </c>
      <c r="P33" s="98"/>
      <c r="Q33" s="314">
        <f>SUM(E33:P33)</f>
        <v>179</v>
      </c>
      <c r="R33" s="320">
        <v>17</v>
      </c>
      <c r="S33" s="215">
        <v>320</v>
      </c>
      <c r="T33" s="217">
        <f t="shared" ref="T33" si="17">SUM(S33-Q33)</f>
        <v>141</v>
      </c>
      <c r="U33" s="3"/>
      <c r="V33" s="74">
        <f>SUM(E33,F33)</f>
        <v>0</v>
      </c>
      <c r="W33" s="75">
        <f>SUM(G33,H33)</f>
        <v>0</v>
      </c>
      <c r="X33" s="76">
        <f>SUM(I33,J33)</f>
        <v>36</v>
      </c>
      <c r="Y33" s="75">
        <f>SUM(K33,L33,M33,)</f>
        <v>108</v>
      </c>
      <c r="Z33" s="77">
        <f>SUM(N33,O33,P33)</f>
        <v>35</v>
      </c>
      <c r="AK33" s="45" t="str">
        <f t="shared" si="15"/>
        <v>33 P</v>
      </c>
    </row>
    <row r="34" spans="2:37" ht="72.599999999999994" customHeight="1" thickBot="1">
      <c r="B34" s="119"/>
      <c r="C34" s="140" t="s">
        <v>134</v>
      </c>
      <c r="D34" s="344"/>
      <c r="E34" s="94" t="str">
        <f>IF(E33=0, "", IF(MOD(E33, $D$33) = 0, E33/ $D$33, IF(INT(E33 / $D$33) = 0, MOD(E33, $D$33) &amp; " P", INT(E33 / $D$33) &amp; " + " &amp; MOD(E33, $D$33) &amp; " P")))</f>
        <v/>
      </c>
      <c r="F34" s="94" t="str">
        <f t="shared" ref="F34:P34" si="18">IF(F33=0, "", IF(MOD(F33, $D$33) = 0, F33/ $D$33, IF(INT(F33 / $D$33) = 0, MOD(F33, $D$33) &amp; " P", INT(F33 / $D$33) &amp; " + " &amp; MOD(F33, $D$33) &amp; " P")))</f>
        <v/>
      </c>
      <c r="G34" s="94" t="str">
        <f t="shared" si="18"/>
        <v/>
      </c>
      <c r="H34" s="94" t="str">
        <f t="shared" si="18"/>
        <v/>
      </c>
      <c r="I34" s="123" t="str">
        <f t="shared" si="18"/>
        <v>1 + 1 P</v>
      </c>
      <c r="J34" s="123" t="str">
        <f t="shared" si="18"/>
        <v>1 + 5 P</v>
      </c>
      <c r="K34" s="123" t="str">
        <f t="shared" si="18"/>
        <v>1 P</v>
      </c>
      <c r="L34" s="123" t="str">
        <f t="shared" si="18"/>
        <v>1 + 13 P</v>
      </c>
      <c r="M34" s="123" t="str">
        <f t="shared" si="18"/>
        <v>5 + 4 P</v>
      </c>
      <c r="N34" s="123" t="str">
        <f t="shared" si="18"/>
        <v>1 + 1 P</v>
      </c>
      <c r="O34" s="123" t="str">
        <f t="shared" si="18"/>
        <v>1 + 4 P</v>
      </c>
      <c r="P34" s="94" t="str">
        <f t="shared" si="18"/>
        <v/>
      </c>
      <c r="Q34" s="315"/>
      <c r="R34" s="317"/>
      <c r="S34" s="216"/>
      <c r="T34" s="218"/>
      <c r="U34" s="3"/>
      <c r="V34" s="74"/>
      <c r="W34" s="79"/>
      <c r="X34" s="80"/>
      <c r="Y34" s="75"/>
      <c r="Z34" s="81"/>
      <c r="AK34" s="46">
        <v>33</v>
      </c>
    </row>
    <row r="35" spans="2:37" ht="72.599999999999994" customHeight="1" thickBot="1">
      <c r="B35" s="118">
        <v>11</v>
      </c>
      <c r="C35" s="142" t="s">
        <v>109</v>
      </c>
      <c r="D35" s="343">
        <v>15</v>
      </c>
      <c r="E35" s="116"/>
      <c r="F35" s="97"/>
      <c r="G35" s="97"/>
      <c r="H35" s="97"/>
      <c r="I35" s="127">
        <v>12</v>
      </c>
      <c r="J35" s="127">
        <v>19</v>
      </c>
      <c r="K35" s="127">
        <v>0</v>
      </c>
      <c r="L35" s="127">
        <v>26</v>
      </c>
      <c r="M35" s="127">
        <v>60</v>
      </c>
      <c r="N35" s="127">
        <v>14</v>
      </c>
      <c r="O35" s="135">
        <v>10</v>
      </c>
      <c r="P35" s="117"/>
      <c r="Q35" s="314">
        <f>SUM(E35:P35)</f>
        <v>141</v>
      </c>
      <c r="R35" s="316">
        <v>11</v>
      </c>
      <c r="S35" s="215">
        <v>190</v>
      </c>
      <c r="T35" s="318">
        <f t="shared" ref="T35" si="19">SUM(S35-Q35)</f>
        <v>49</v>
      </c>
      <c r="U35" s="3"/>
      <c r="V35" s="74">
        <f>SUM(E35,F35)</f>
        <v>0</v>
      </c>
      <c r="W35" s="75">
        <f>SUM(G35,H35)</f>
        <v>0</v>
      </c>
      <c r="X35" s="76">
        <f>SUM(I35,J35)</f>
        <v>31</v>
      </c>
      <c r="Y35" s="75">
        <f>SUM(K35,L35,M35,)</f>
        <v>86</v>
      </c>
      <c r="Z35" s="77">
        <f>SUM(N35,O35,P35)</f>
        <v>24</v>
      </c>
      <c r="AK35" s="45" t="str">
        <f>IF(AK30=0, "", IF(MOD(AK30, $D$37) = 0, AK30/ $D$37, IF(INT(AK30 / $D$37) = 0, MOD(AK30, $D$37) &amp; " P", INT(AK30 / $D$37) &amp; " + " &amp; MOD(AK30, $D$37) &amp; " P")))</f>
        <v>1 + 7 P</v>
      </c>
    </row>
    <row r="36" spans="2:37" ht="72.599999999999994" customHeight="1" thickBot="1">
      <c r="B36" s="119"/>
      <c r="C36" s="140" t="s">
        <v>118</v>
      </c>
      <c r="D36" s="344"/>
      <c r="E36" s="94" t="str">
        <f>IF(E35=0, "", IF(MOD(E35, $D$35) = 0, E35/ $D$35, IF(INT(E35 / $D$35) = 0, MOD(E35, $D$35) &amp; " P", INT(E35 / $D$35) &amp; " + " &amp; MOD(E35, $D$35) &amp; " P")))</f>
        <v/>
      </c>
      <c r="F36" s="94" t="str">
        <f t="shared" ref="F36:P36" si="20">IF(F35=0, "", IF(MOD(F35, $D$35) = 0, F35/ $D$35, IF(INT(F35 / $D$35) = 0, MOD(F35, $D$35) &amp; " P", INT(F35 / $D$35) &amp; " + " &amp; MOD(F35, $D$35) &amp; " P")))</f>
        <v/>
      </c>
      <c r="G36" s="94" t="str">
        <f t="shared" si="20"/>
        <v/>
      </c>
      <c r="H36" s="94" t="str">
        <f t="shared" si="20"/>
        <v/>
      </c>
      <c r="I36" s="123" t="str">
        <f t="shared" si="20"/>
        <v>12 P</v>
      </c>
      <c r="J36" s="123" t="str">
        <f t="shared" si="20"/>
        <v>1 + 4 P</v>
      </c>
      <c r="K36" s="123" t="str">
        <f t="shared" si="20"/>
        <v/>
      </c>
      <c r="L36" s="123" t="str">
        <f t="shared" si="20"/>
        <v>1 + 11 P</v>
      </c>
      <c r="M36" s="123">
        <f>IF(M35=0, "", IF(MOD(M35, $D$35) = 0, M35/ $D$35, IF(INT(M35 / $D$35) = 0, MOD(M35, $D$35) &amp; " P", INT(M35 / $D$35) &amp; " + " &amp; MOD(M35, $D$35) &amp; " P")))</f>
        <v>4</v>
      </c>
      <c r="N36" s="123" t="str">
        <f>IF(N35=0, "", IF(MOD(N35, $D$35) = 0, N35/ $D$35, IF(INT(N35 / $D$35) = 0, MOD(N35, $D$35) &amp; " P", INT(N35 / $D$35) &amp; " + " &amp; MOD(N35, $D$35) &amp; " P")))</f>
        <v>14 P</v>
      </c>
      <c r="O36" s="123" t="str">
        <f t="shared" si="20"/>
        <v>10 P</v>
      </c>
      <c r="P36" s="94" t="str">
        <f t="shared" si="20"/>
        <v/>
      </c>
      <c r="Q36" s="315"/>
      <c r="R36" s="317"/>
      <c r="S36" s="216"/>
      <c r="T36" s="319"/>
      <c r="U36" s="3"/>
      <c r="V36" s="74"/>
      <c r="W36" s="79"/>
      <c r="X36" s="80"/>
      <c r="Y36" s="75"/>
      <c r="Z36" s="81"/>
    </row>
    <row r="37" spans="2:37" ht="72.599999999999994" customHeight="1" thickBot="1">
      <c r="B37" s="118">
        <v>12</v>
      </c>
      <c r="C37" s="142" t="s">
        <v>131</v>
      </c>
      <c r="D37" s="343">
        <v>27</v>
      </c>
      <c r="E37" s="91"/>
      <c r="F37" s="91"/>
      <c r="G37" s="91"/>
      <c r="H37" s="91"/>
      <c r="I37" s="120">
        <v>19</v>
      </c>
      <c r="J37" s="120">
        <v>20</v>
      </c>
      <c r="K37" s="120">
        <v>0</v>
      </c>
      <c r="L37" s="120">
        <v>66</v>
      </c>
      <c r="M37" s="120">
        <v>86</v>
      </c>
      <c r="N37" s="120">
        <v>30</v>
      </c>
      <c r="O37" s="120">
        <v>35</v>
      </c>
      <c r="P37" s="91"/>
      <c r="Q37" s="314">
        <f>SUM(E37:P37)</f>
        <v>256</v>
      </c>
      <c r="R37" s="316">
        <v>13</v>
      </c>
      <c r="S37" s="215">
        <v>440</v>
      </c>
      <c r="T37" s="318">
        <f t="shared" ref="T37" si="21">SUM(S37-Q37)</f>
        <v>184</v>
      </c>
      <c r="U37" s="3"/>
      <c r="V37" s="74">
        <f>SUM(E37,F37)</f>
        <v>0</v>
      </c>
      <c r="W37" s="75">
        <f>SUM(G37,H37)</f>
        <v>0</v>
      </c>
      <c r="X37" s="76">
        <f>SUM(I37,J37)</f>
        <v>39</v>
      </c>
      <c r="Y37" s="75">
        <f>SUM(K37,L37,M37,)</f>
        <v>152</v>
      </c>
      <c r="Z37" s="77">
        <f>SUM(N37,O37,P37)</f>
        <v>65</v>
      </c>
      <c r="AK37" s="45" t="str">
        <f>IF(AK32=0, "", IF(MOD(AK32, $D$37) = 0, AK32/ $D$37, IF(INT(AK32 / $D$37) = 0, MOD(AK32, $D$37) &amp; " P", INT(AK32 / $D$37) &amp; " + " &amp; MOD(AK32, $D$37) &amp; " P")))</f>
        <v>1 + 6 P</v>
      </c>
    </row>
    <row r="38" spans="2:37" ht="72.599999999999994" customHeight="1" thickBot="1">
      <c r="B38" s="119"/>
      <c r="C38" s="140" t="s">
        <v>132</v>
      </c>
      <c r="D38" s="344"/>
      <c r="E38" s="94" t="str">
        <f>IF(E37=0, "", IF(MOD(E37, $D$37) = 0, E37/ $D$37, IF(INT(E37 / $D$37) = 0, MOD(E37, $D$37) &amp; " P", INT(E37 / $D$37) &amp; " + " &amp; MOD(E37, $D$37) &amp; " P")))</f>
        <v/>
      </c>
      <c r="F38" s="94" t="str">
        <f t="shared" ref="F38:P38" si="22">IF(F37=0, "", IF(MOD(F37, $D$37) = 0, F37/ $D$37, IF(INT(F37 / $D$37) = 0, MOD(F37, $D$37) &amp; " P", INT(F37 / $D$37) &amp; " + " &amp; MOD(F37, $D$37) &amp; " P")))</f>
        <v/>
      </c>
      <c r="G38" s="94" t="str">
        <f t="shared" si="22"/>
        <v/>
      </c>
      <c r="H38" s="94" t="str">
        <f t="shared" si="22"/>
        <v/>
      </c>
      <c r="I38" s="123" t="str">
        <f t="shared" si="22"/>
        <v>19 P</v>
      </c>
      <c r="J38" s="123" t="str">
        <f t="shared" si="22"/>
        <v>20 P</v>
      </c>
      <c r="K38" s="123" t="str">
        <f t="shared" si="22"/>
        <v/>
      </c>
      <c r="L38" s="123" t="str">
        <f t="shared" si="22"/>
        <v>2 + 12 P</v>
      </c>
      <c r="M38" s="123" t="str">
        <f t="shared" si="22"/>
        <v>3 + 5 P</v>
      </c>
      <c r="N38" s="123" t="str">
        <f t="shared" si="22"/>
        <v>1 + 3 P</v>
      </c>
      <c r="O38" s="123" t="str">
        <f t="shared" si="22"/>
        <v>1 + 8 P</v>
      </c>
      <c r="P38" s="94" t="str">
        <f t="shared" si="22"/>
        <v/>
      </c>
      <c r="Q38" s="315"/>
      <c r="R38" s="317"/>
      <c r="S38" s="216"/>
      <c r="T38" s="319"/>
      <c r="U38" s="3"/>
      <c r="V38" s="74"/>
      <c r="W38" s="79"/>
      <c r="X38" s="80"/>
      <c r="Y38" s="75"/>
      <c r="Z38" s="81"/>
    </row>
    <row r="39" spans="2:37" ht="72.599999999999994" customHeight="1" thickBot="1">
      <c r="B39" s="118">
        <v>13</v>
      </c>
      <c r="C39" s="142" t="s">
        <v>65</v>
      </c>
      <c r="D39" s="343">
        <v>20</v>
      </c>
      <c r="E39" s="91"/>
      <c r="F39" s="91"/>
      <c r="G39" s="91"/>
      <c r="H39" s="91"/>
      <c r="I39" s="120">
        <v>18</v>
      </c>
      <c r="J39" s="120">
        <v>19</v>
      </c>
      <c r="K39" s="120">
        <v>3</v>
      </c>
      <c r="L39" s="120">
        <v>53</v>
      </c>
      <c r="M39" s="120">
        <v>135</v>
      </c>
      <c r="N39" s="120">
        <v>6</v>
      </c>
      <c r="O39" s="120">
        <v>9</v>
      </c>
      <c r="P39" s="91"/>
      <c r="Q39" s="314">
        <f>SUM(E39:P39)</f>
        <v>243</v>
      </c>
      <c r="R39" s="316">
        <v>15</v>
      </c>
      <c r="S39" s="215">
        <v>450</v>
      </c>
      <c r="T39" s="318">
        <f t="shared" ref="T39" si="23">SUM(S39-Q39)</f>
        <v>207</v>
      </c>
      <c r="U39" s="3"/>
      <c r="V39" s="74">
        <f>SUM(E39,F39)</f>
        <v>0</v>
      </c>
      <c r="W39" s="75">
        <f>SUM(G39,H39)</f>
        <v>0</v>
      </c>
      <c r="X39" s="76">
        <f>SUM(I39,J39)</f>
        <v>37</v>
      </c>
      <c r="Y39" s="75">
        <f>SUM(K39,L39,M39,)</f>
        <v>191</v>
      </c>
      <c r="Z39" s="77">
        <f>SUM(N39,O39,P39)</f>
        <v>15</v>
      </c>
      <c r="AK39" s="45" t="str">
        <f>IF(AK36=0, "", IF(MOD(AK36, $D$37) = 0, AK36/ $D$37, IF(INT(AK36 / $D$37) = 0, MOD(AK36, $D$37) &amp; " P", INT(AK36 / $D$37) &amp; " + " &amp; MOD(AK36, $D$37) &amp; " P")))</f>
        <v/>
      </c>
    </row>
    <row r="40" spans="2:37" ht="72.599999999999994" customHeight="1" thickBot="1">
      <c r="B40" s="119"/>
      <c r="C40" s="139" t="s">
        <v>115</v>
      </c>
      <c r="D40" s="344"/>
      <c r="E40" s="94" t="str">
        <f>IF(E39=0, "", IF(MOD(E39, $D$39) = 0, E39/ $D$39, IF(INT(E39 / $D$39) = 0, MOD(E39, $D$39) &amp; " P", INT(E39 / $D$39) &amp; " + " &amp; MOD(E39, $D$39) &amp; " P")))</f>
        <v/>
      </c>
      <c r="F40" s="94" t="str">
        <f t="shared" ref="F40:P40" si="24">IF(F39=0, "", IF(MOD(F39, $D$39) = 0, F39/ $D$39, IF(INT(F39 / $D$39) = 0, MOD(F39, $D$39) &amp; " P", INT(F39 / $D$39) &amp; " + " &amp; MOD(F39, $D$39) &amp; " P")))</f>
        <v/>
      </c>
      <c r="G40" s="94" t="str">
        <f t="shared" si="24"/>
        <v/>
      </c>
      <c r="H40" s="94" t="str">
        <f t="shared" si="24"/>
        <v/>
      </c>
      <c r="I40" s="123" t="str">
        <f t="shared" si="24"/>
        <v>18 P</v>
      </c>
      <c r="J40" s="123" t="str">
        <f t="shared" si="24"/>
        <v>19 P</v>
      </c>
      <c r="K40" s="123" t="str">
        <f t="shared" si="24"/>
        <v>3 P</v>
      </c>
      <c r="L40" s="123" t="str">
        <f t="shared" si="24"/>
        <v>2 + 13 P</v>
      </c>
      <c r="M40" s="123" t="str">
        <f t="shared" si="24"/>
        <v>6 + 15 P</v>
      </c>
      <c r="N40" s="123" t="str">
        <f t="shared" si="24"/>
        <v>6 P</v>
      </c>
      <c r="O40" s="123" t="str">
        <f t="shared" si="24"/>
        <v>9 P</v>
      </c>
      <c r="P40" s="94" t="str">
        <f t="shared" si="24"/>
        <v/>
      </c>
      <c r="Q40" s="315"/>
      <c r="R40" s="317"/>
      <c r="S40" s="216"/>
      <c r="T40" s="319"/>
      <c r="U40" s="3"/>
      <c r="V40" s="74"/>
      <c r="W40" s="79"/>
      <c r="X40" s="80"/>
      <c r="Y40" s="75"/>
      <c r="Z40" s="81"/>
    </row>
    <row r="41" spans="2:37" ht="72.599999999999994" customHeight="1" thickBot="1">
      <c r="B41" s="118">
        <v>14</v>
      </c>
      <c r="C41" s="141" t="s">
        <v>66</v>
      </c>
      <c r="D41" s="343">
        <v>32</v>
      </c>
      <c r="E41" s="91"/>
      <c r="F41" s="91"/>
      <c r="G41" s="91"/>
      <c r="H41" s="91"/>
      <c r="I41" s="120">
        <v>6</v>
      </c>
      <c r="J41" s="120">
        <v>2</v>
      </c>
      <c r="K41" s="120">
        <v>0</v>
      </c>
      <c r="L41" s="120">
        <v>31</v>
      </c>
      <c r="M41" s="120">
        <v>47</v>
      </c>
      <c r="N41" s="120">
        <v>9</v>
      </c>
      <c r="O41" s="120">
        <v>2</v>
      </c>
      <c r="P41" s="91"/>
      <c r="Q41" s="314">
        <f>SUM(E41:P41)</f>
        <v>97</v>
      </c>
      <c r="R41" s="316">
        <v>7</v>
      </c>
      <c r="S41" s="215">
        <v>220</v>
      </c>
      <c r="T41" s="217">
        <f t="shared" ref="T41" si="25">SUM(S41-Q41)</f>
        <v>123</v>
      </c>
      <c r="U41" s="3"/>
      <c r="V41" s="74">
        <f>SUM(E41,F41)</f>
        <v>0</v>
      </c>
      <c r="W41" s="75">
        <f>SUM(G41,H41)</f>
        <v>0</v>
      </c>
      <c r="X41" s="76">
        <f>SUM(I41,J41)</f>
        <v>8</v>
      </c>
      <c r="Y41" s="75">
        <f>SUM(K41,L41,M41,)</f>
        <v>78</v>
      </c>
      <c r="Z41" s="77">
        <f>SUM(N41,O41,P41)</f>
        <v>11</v>
      </c>
      <c r="AK41" s="45" t="str">
        <f>IF(AK38=0, "", IF(MOD(AK38, $D$37) = 0, AK38/ $D$37, IF(INT(AK38 / $D$37) = 0, MOD(AK38, $D$37) &amp; " P", INT(AK38 / $D$37) &amp; " + " &amp; MOD(AK38, $D$37) &amp; " P")))</f>
        <v/>
      </c>
    </row>
    <row r="42" spans="2:37" ht="72.599999999999994" customHeight="1" thickBot="1">
      <c r="B42" s="119"/>
      <c r="C42" s="139" t="s">
        <v>116</v>
      </c>
      <c r="D42" s="344"/>
      <c r="E42" s="94" t="str">
        <f>IF(E41=0, "", IF(MOD(E41, $D$41) = 0, E41/ $D$41, IF(INT(E41 / $D$41) = 0, MOD(E41, $D$41) &amp; " P", INT(E41 / $D$41) &amp; " + " &amp; MOD(E41, $D$41) &amp; " P")))</f>
        <v/>
      </c>
      <c r="F42" s="94" t="str">
        <f t="shared" ref="F42:P42" si="26">IF(F41=0, "", IF(MOD(F41, $D$41) = 0, F41/ $D$41, IF(INT(F41 / $D$41) = 0, MOD(F41, $D$41) &amp; " P", INT(F41 / $D$41) &amp; " + " &amp; MOD(F41, $D$41) &amp; " P")))</f>
        <v/>
      </c>
      <c r="G42" s="94" t="str">
        <f t="shared" si="26"/>
        <v/>
      </c>
      <c r="H42" s="94" t="str">
        <f t="shared" si="26"/>
        <v/>
      </c>
      <c r="I42" s="123" t="str">
        <f t="shared" si="26"/>
        <v>6 P</v>
      </c>
      <c r="J42" s="123" t="str">
        <f t="shared" si="26"/>
        <v>2 P</v>
      </c>
      <c r="K42" s="123" t="str">
        <f t="shared" si="26"/>
        <v/>
      </c>
      <c r="L42" s="123" t="str">
        <f t="shared" si="26"/>
        <v>31 P</v>
      </c>
      <c r="M42" s="123" t="str">
        <f t="shared" si="26"/>
        <v>1 + 15 P</v>
      </c>
      <c r="N42" s="123" t="str">
        <f t="shared" si="26"/>
        <v>9 P</v>
      </c>
      <c r="O42" s="123" t="str">
        <f t="shared" si="26"/>
        <v>2 P</v>
      </c>
      <c r="P42" s="94" t="str">
        <f t="shared" si="26"/>
        <v/>
      </c>
      <c r="Q42" s="315"/>
      <c r="R42" s="317"/>
      <c r="S42" s="216"/>
      <c r="T42" s="218"/>
      <c r="U42" s="3"/>
      <c r="V42" s="74"/>
      <c r="W42" s="79"/>
      <c r="X42" s="80"/>
      <c r="Y42" s="75"/>
      <c r="Z42" s="81"/>
    </row>
    <row r="43" spans="2:37" ht="72.599999999999994" customHeight="1" thickBot="1">
      <c r="B43" s="118">
        <v>15</v>
      </c>
      <c r="C43" s="138" t="s">
        <v>105</v>
      </c>
      <c r="D43" s="343">
        <v>15</v>
      </c>
      <c r="E43" s="91"/>
      <c r="F43" s="91"/>
      <c r="G43" s="91"/>
      <c r="H43" s="91"/>
      <c r="I43" s="120">
        <v>0</v>
      </c>
      <c r="J43" s="120">
        <v>2</v>
      </c>
      <c r="K43" s="120">
        <v>0</v>
      </c>
      <c r="L43" s="120">
        <v>18</v>
      </c>
      <c r="M43" s="120">
        <v>32</v>
      </c>
      <c r="N43" s="120">
        <v>0</v>
      </c>
      <c r="O43" s="120">
        <v>0</v>
      </c>
      <c r="P43" s="91"/>
      <c r="Q43" s="314">
        <f>SUM(E43:P43)</f>
        <v>52</v>
      </c>
      <c r="R43" s="316">
        <v>6</v>
      </c>
      <c r="S43" s="215">
        <v>100</v>
      </c>
      <c r="T43" s="217">
        <f t="shared" ref="T43" si="27">SUM(S43-Q43)</f>
        <v>48</v>
      </c>
      <c r="U43" s="3"/>
      <c r="V43" s="74">
        <f>SUM(E43,F43)</f>
        <v>0</v>
      </c>
      <c r="W43" s="75">
        <f>SUM(G43,H43)</f>
        <v>0</v>
      </c>
      <c r="X43" s="76">
        <f>SUM(I43,J43)</f>
        <v>2</v>
      </c>
      <c r="Y43" s="75">
        <f>SUM(K43,L43,M43,)</f>
        <v>50</v>
      </c>
      <c r="Z43" s="77">
        <f>SUM(N43,O43,P43)</f>
        <v>0</v>
      </c>
      <c r="AK43" s="45" t="str">
        <f>IF(AK40=0, "", IF(MOD(AK40, $D$37) = 0, AK40/ $D$37, IF(INT(AK40 / $D$37) = 0, MOD(AK40, $D$37) &amp; " P", INT(AK40 / $D$37) &amp; " + " &amp; MOD(AK40, $D$37) &amp; " P")))</f>
        <v/>
      </c>
    </row>
    <row r="44" spans="2:37" ht="72.599999999999994" customHeight="1" thickBot="1">
      <c r="B44" s="119"/>
      <c r="C44" s="140" t="s">
        <v>117</v>
      </c>
      <c r="D44" s="344"/>
      <c r="E44" s="94" t="str">
        <f>IF(E43=0, "", IF(MOD(E43, $D$43) = 0, E43/ $D$43, IF(INT(E43 / $D$43) = 0, MOD(E43, $D$43) &amp; " P", INT(E43 / $D$43) &amp; " + " &amp; MOD(E43, $D$43) &amp; " P")))</f>
        <v/>
      </c>
      <c r="F44" s="94" t="str">
        <f t="shared" ref="F44:P44" si="28">IF(F43=0, "", IF(MOD(F43, $D$43) = 0, F43/ $D$43, IF(INT(F43 / $D$43) = 0, MOD(F43, $D$43) &amp; " P", INT(F43 / $D$43) &amp; " + " &amp; MOD(F43, $D$43) &amp; " P")))</f>
        <v/>
      </c>
      <c r="G44" s="94" t="str">
        <f t="shared" si="28"/>
        <v/>
      </c>
      <c r="H44" s="94" t="str">
        <f t="shared" si="28"/>
        <v/>
      </c>
      <c r="I44" s="123" t="str">
        <f t="shared" si="28"/>
        <v/>
      </c>
      <c r="J44" s="123" t="str">
        <f t="shared" si="28"/>
        <v>2 P</v>
      </c>
      <c r="K44" s="123" t="str">
        <f t="shared" si="28"/>
        <v/>
      </c>
      <c r="L44" s="123" t="str">
        <f t="shared" si="28"/>
        <v>1 + 3 P</v>
      </c>
      <c r="M44" s="123" t="str">
        <f t="shared" si="28"/>
        <v>2 + 2 P</v>
      </c>
      <c r="N44" s="123" t="str">
        <f t="shared" si="28"/>
        <v/>
      </c>
      <c r="O44" s="123" t="str">
        <f t="shared" si="28"/>
        <v/>
      </c>
      <c r="P44" s="94" t="str">
        <f t="shared" si="28"/>
        <v/>
      </c>
      <c r="Q44" s="315"/>
      <c r="R44" s="317"/>
      <c r="S44" s="216"/>
      <c r="T44" s="218"/>
      <c r="U44" s="3"/>
      <c r="V44" s="74"/>
      <c r="W44" s="79"/>
      <c r="X44" s="80"/>
      <c r="Y44" s="75"/>
      <c r="Z44" s="81"/>
    </row>
    <row r="45" spans="2:37" ht="73.5" customHeight="1" thickBot="1">
      <c r="B45" s="239" t="s">
        <v>81</v>
      </c>
      <c r="C45" s="240"/>
      <c r="D45" s="241"/>
      <c r="E45" s="65"/>
      <c r="F45" s="65"/>
      <c r="G45" s="65"/>
      <c r="H45" s="65"/>
      <c r="I45" s="143">
        <v>-19</v>
      </c>
      <c r="J45" s="143">
        <v>-20</v>
      </c>
      <c r="K45" s="143">
        <v>-9</v>
      </c>
      <c r="L45" s="143">
        <v>-32</v>
      </c>
      <c r="M45" s="143">
        <v>-58</v>
      </c>
      <c r="N45" s="143">
        <v>-16</v>
      </c>
      <c r="O45" s="143">
        <v>-18</v>
      </c>
      <c r="P45" s="65"/>
      <c r="Q45" s="66" t="s">
        <v>87</v>
      </c>
      <c r="R45" s="67">
        <f>SUM(R10:R44)</f>
        <v>172</v>
      </c>
      <c r="S45" s="63"/>
      <c r="T45" s="105"/>
      <c r="U45" s="3"/>
      <c r="V45" s="82"/>
      <c r="W45" s="83"/>
      <c r="X45" s="84"/>
      <c r="Y45" s="85"/>
      <c r="Z45" s="84"/>
    </row>
    <row r="46" spans="2:37" ht="13.2" customHeight="1" thickBot="1">
      <c r="B46" s="33"/>
      <c r="C46" s="33"/>
      <c r="D46" s="33"/>
      <c r="E46" s="32"/>
      <c r="F46" s="32"/>
      <c r="G46" s="32"/>
      <c r="H46" s="32"/>
      <c r="I46" s="32"/>
      <c r="J46" s="34"/>
      <c r="K46" s="35"/>
      <c r="L46" s="61"/>
      <c r="M46" s="62"/>
      <c r="O46" s="52"/>
      <c r="P46" s="52"/>
      <c r="Q46" s="52"/>
      <c r="R46" s="52"/>
      <c r="T46" s="31"/>
      <c r="U46" s="3"/>
      <c r="V46" s="3"/>
      <c r="W46" s="3"/>
      <c r="X46" s="3"/>
      <c r="Y46" s="3"/>
    </row>
    <row r="47" spans="2:37" ht="105" hidden="1" customHeight="1" thickBot="1"/>
    <row r="48" spans="2:37" ht="37.5" hidden="1" customHeight="1" thickBot="1"/>
    <row r="49" spans="2:20" ht="48.75" hidden="1" customHeight="1" thickBot="1"/>
    <row r="50" spans="2:20" s="3" customFormat="1" ht="64.95" customHeight="1" thickBot="1">
      <c r="B50" s="246" t="s">
        <v>49</v>
      </c>
      <c r="C50" s="247"/>
      <c r="D50" s="246" t="s">
        <v>53</v>
      </c>
      <c r="E50" s="247"/>
      <c r="F50" s="246" t="s">
        <v>54</v>
      </c>
      <c r="G50" s="247"/>
      <c r="H50" s="246" t="s">
        <v>71</v>
      </c>
      <c r="I50" s="247"/>
      <c r="M50" s="307" t="s">
        <v>88</v>
      </c>
      <c r="N50" s="307"/>
      <c r="O50" s="307"/>
      <c r="P50" s="307"/>
      <c r="Q50" s="310">
        <f>SUM(R45)</f>
        <v>172</v>
      </c>
      <c r="R50" s="304" t="s">
        <v>89</v>
      </c>
      <c r="T50" s="31"/>
    </row>
    <row r="51" spans="2:20" s="3" customFormat="1" ht="58.95" customHeight="1">
      <c r="B51" s="248" t="s">
        <v>72</v>
      </c>
      <c r="C51" s="249"/>
      <c r="D51" s="250"/>
      <c r="E51" s="251"/>
      <c r="F51" s="250"/>
      <c r="G51" s="251"/>
      <c r="H51" s="250"/>
      <c r="I51" s="251"/>
      <c r="M51" s="307"/>
      <c r="N51" s="307"/>
      <c r="O51" s="307"/>
      <c r="P51" s="307"/>
      <c r="Q51" s="311"/>
      <c r="R51" s="304"/>
      <c r="T51" s="31"/>
    </row>
    <row r="52" spans="2:20" s="3" customFormat="1" ht="58.95" customHeight="1" thickBot="1">
      <c r="B52" s="234" t="s">
        <v>74</v>
      </c>
      <c r="C52" s="235"/>
      <c r="D52" s="236"/>
      <c r="E52" s="237"/>
      <c r="F52" s="236"/>
      <c r="G52" s="237"/>
      <c r="H52" s="236"/>
      <c r="I52" s="237"/>
      <c r="M52" s="52"/>
      <c r="N52" s="238" t="s">
        <v>73</v>
      </c>
      <c r="O52" s="238"/>
      <c r="P52" s="238"/>
      <c r="Q52" s="238"/>
      <c r="R52" s="238"/>
      <c r="T52" s="31"/>
    </row>
    <row r="53" spans="2:20" s="3" customFormat="1" ht="58.95" customHeight="1" thickBot="1">
      <c r="B53" s="242" t="s">
        <v>76</v>
      </c>
      <c r="C53" s="243"/>
      <c r="D53" s="244"/>
      <c r="E53" s="245"/>
      <c r="F53" s="244"/>
      <c r="G53" s="245"/>
      <c r="H53" s="244"/>
      <c r="I53" s="245"/>
      <c r="K53" s="41" t="s">
        <v>77</v>
      </c>
      <c r="L53" s="68"/>
      <c r="M53" s="89"/>
      <c r="N53" s="90"/>
      <c r="O53" s="39" t="s">
        <v>75</v>
      </c>
      <c r="P53" s="39" t="s">
        <v>75</v>
      </c>
      <c r="Q53" s="39" t="s">
        <v>59</v>
      </c>
      <c r="R53" s="40"/>
      <c r="T53" s="31"/>
    </row>
    <row r="54" spans="2:20" s="3" customFormat="1" ht="64.2" customHeight="1" thickBot="1">
      <c r="D54" s="52"/>
      <c r="E54" s="41"/>
      <c r="F54" s="41"/>
      <c r="G54" s="69"/>
      <c r="H54" s="69"/>
      <c r="I54" s="41"/>
      <c r="K54" s="41"/>
      <c r="N54" s="41"/>
      <c r="O54" s="39"/>
      <c r="P54" s="39"/>
      <c r="Q54" s="39"/>
      <c r="R54" s="41"/>
      <c r="T54" s="31"/>
    </row>
  </sheetData>
  <mergeCells count="124">
    <mergeCell ref="L4:M4"/>
    <mergeCell ref="B10:D11"/>
    <mergeCell ref="E10:R11"/>
    <mergeCell ref="W11:AA11"/>
    <mergeCell ref="B12:C14"/>
    <mergeCell ref="D12:D14"/>
    <mergeCell ref="E12:F12"/>
    <mergeCell ref="G12:H12"/>
    <mergeCell ref="I12:J12"/>
    <mergeCell ref="K12:M12"/>
    <mergeCell ref="X12:X13"/>
    <mergeCell ref="Y12:Y13"/>
    <mergeCell ref="Z12:Z13"/>
    <mergeCell ref="E13:F13"/>
    <mergeCell ref="G13:H13"/>
    <mergeCell ref="I13:J13"/>
    <mergeCell ref="K13:M13"/>
    <mergeCell ref="N13:O13"/>
    <mergeCell ref="N12:O12"/>
    <mergeCell ref="Q12:R13"/>
    <mergeCell ref="S12:S14"/>
    <mergeCell ref="T12:T14"/>
    <mergeCell ref="V12:V13"/>
    <mergeCell ref="W12:W13"/>
    <mergeCell ref="B17:B18"/>
    <mergeCell ref="D17:D18"/>
    <mergeCell ref="Q17:Q18"/>
    <mergeCell ref="R17:R18"/>
    <mergeCell ref="S17:S18"/>
    <mergeCell ref="T17:T18"/>
    <mergeCell ref="B15:B16"/>
    <mergeCell ref="D15:D16"/>
    <mergeCell ref="Q15:Q16"/>
    <mergeCell ref="R15:R16"/>
    <mergeCell ref="S15:S16"/>
    <mergeCell ref="T15:T16"/>
    <mergeCell ref="B21:B22"/>
    <mergeCell ref="D21:D22"/>
    <mergeCell ref="Q21:Q22"/>
    <mergeCell ref="R21:R22"/>
    <mergeCell ref="S21:S22"/>
    <mergeCell ref="T21:T22"/>
    <mergeCell ref="B19:B20"/>
    <mergeCell ref="D19:D20"/>
    <mergeCell ref="Q19:Q20"/>
    <mergeCell ref="R19:R20"/>
    <mergeCell ref="S19:S20"/>
    <mergeCell ref="T19:T20"/>
    <mergeCell ref="D23:D24"/>
    <mergeCell ref="Q23:Q24"/>
    <mergeCell ref="R23:R24"/>
    <mergeCell ref="S23:S24"/>
    <mergeCell ref="T23:T24"/>
    <mergeCell ref="D25:D26"/>
    <mergeCell ref="Q25:Q26"/>
    <mergeCell ref="R25:R26"/>
    <mergeCell ref="S25:S26"/>
    <mergeCell ref="T25:T26"/>
    <mergeCell ref="D27:D28"/>
    <mergeCell ref="Q27:Q28"/>
    <mergeCell ref="R27:R28"/>
    <mergeCell ref="S27:S28"/>
    <mergeCell ref="T27:T28"/>
    <mergeCell ref="D29:D30"/>
    <mergeCell ref="Q29:Q30"/>
    <mergeCell ref="R29:R30"/>
    <mergeCell ref="S29:S30"/>
    <mergeCell ref="T29:T30"/>
    <mergeCell ref="D31:D32"/>
    <mergeCell ref="Q31:Q32"/>
    <mergeCell ref="R31:R32"/>
    <mergeCell ref="S31:S32"/>
    <mergeCell ref="T31:T32"/>
    <mergeCell ref="D33:D34"/>
    <mergeCell ref="Q33:Q34"/>
    <mergeCell ref="R33:R34"/>
    <mergeCell ref="S33:S34"/>
    <mergeCell ref="T33:T34"/>
    <mergeCell ref="D35:D36"/>
    <mergeCell ref="Q35:Q36"/>
    <mergeCell ref="R35:R36"/>
    <mergeCell ref="S35:S36"/>
    <mergeCell ref="T35:T36"/>
    <mergeCell ref="D37:D38"/>
    <mergeCell ref="Q37:Q38"/>
    <mergeCell ref="R37:R38"/>
    <mergeCell ref="S37:S38"/>
    <mergeCell ref="T37:T38"/>
    <mergeCell ref="D43:D44"/>
    <mergeCell ref="Q43:Q44"/>
    <mergeCell ref="R43:R44"/>
    <mergeCell ref="S43:S44"/>
    <mergeCell ref="T43:T44"/>
    <mergeCell ref="B45:D45"/>
    <mergeCell ref="D39:D40"/>
    <mergeCell ref="Q39:Q40"/>
    <mergeCell ref="R39:R40"/>
    <mergeCell ref="S39:S40"/>
    <mergeCell ref="T39:T40"/>
    <mergeCell ref="D41:D42"/>
    <mergeCell ref="Q41:Q42"/>
    <mergeCell ref="R41:R42"/>
    <mergeCell ref="S41:S42"/>
    <mergeCell ref="T41:T42"/>
    <mergeCell ref="B53:C53"/>
    <mergeCell ref="D53:E53"/>
    <mergeCell ref="F53:G53"/>
    <mergeCell ref="H53:I53"/>
    <mergeCell ref="R50:R51"/>
    <mergeCell ref="B51:C51"/>
    <mergeCell ref="D51:E51"/>
    <mergeCell ref="F51:G51"/>
    <mergeCell ref="H51:I51"/>
    <mergeCell ref="B52:C52"/>
    <mergeCell ref="D52:E52"/>
    <mergeCell ref="F52:G52"/>
    <mergeCell ref="H52:I52"/>
    <mergeCell ref="N52:R52"/>
    <mergeCell ref="B50:C50"/>
    <mergeCell ref="D50:E50"/>
    <mergeCell ref="F50:G50"/>
    <mergeCell ref="H50:I50"/>
    <mergeCell ref="M50:P51"/>
    <mergeCell ref="Q50:Q51"/>
  </mergeCells>
  <printOptions horizontalCentered="1"/>
  <pageMargins left="0" right="0" top="0.15748031496062992" bottom="0" header="0" footer="0"/>
  <pageSetup paperSize="9" scale="1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W50"/>
  <sheetViews>
    <sheetView zoomScale="80" zoomScaleNormal="80" workbookViewId="0">
      <selection activeCell="A14" sqref="A14"/>
    </sheetView>
  </sheetViews>
  <sheetFormatPr defaultColWidth="8.88671875" defaultRowHeight="15" customHeight="1"/>
  <cols>
    <col min="1" max="1" width="51.77734375" style="3" customWidth="1"/>
    <col min="2" max="2" width="9.109375" style="3" customWidth="1"/>
    <col min="3" max="3" width="11.6640625" style="3" customWidth="1"/>
    <col min="4" max="14" width="6.77734375" style="3" customWidth="1"/>
    <col min="15" max="15" width="10.21875" style="3" customWidth="1"/>
    <col min="16" max="16" width="17.21875" style="3" customWidth="1"/>
    <col min="17" max="17" width="14.21875" style="3" customWidth="1"/>
    <col min="18" max="18" width="10.77734375" style="3" customWidth="1"/>
    <col min="19" max="19" width="15.77734375" style="3" customWidth="1"/>
    <col min="20" max="49" width="3.77734375" style="3" hidden="1" customWidth="1"/>
    <col min="50" max="16384" width="8.88671875" style="3"/>
  </cols>
  <sheetData>
    <row r="1" spans="1:49" ht="49.95" customHeight="1">
      <c r="A1" s="3" t="e" vm="1">
        <v>#VALUE!</v>
      </c>
      <c r="B1" s="370" t="s">
        <v>67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Q1" s="371" t="s">
        <v>18</v>
      </c>
      <c r="R1" s="371"/>
      <c r="S1" s="371"/>
    </row>
    <row r="2" spans="1:49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Q2" s="4"/>
      <c r="R2" s="4"/>
      <c r="S2" s="4"/>
    </row>
    <row r="3" spans="1:49" ht="15" customHeight="1">
      <c r="A3" s="11"/>
      <c r="B3" s="1"/>
      <c r="C3" s="1"/>
      <c r="D3" s="12"/>
      <c r="Q3" s="371" t="s">
        <v>17</v>
      </c>
      <c r="R3" s="371"/>
      <c r="S3" s="371"/>
    </row>
    <row r="4" spans="1:49" ht="25.2" customHeight="1">
      <c r="A4" s="5" t="s">
        <v>24</v>
      </c>
      <c r="B4" s="1"/>
      <c r="C4" s="1"/>
      <c r="Q4" s="371"/>
      <c r="R4" s="371"/>
      <c r="S4" s="371"/>
    </row>
    <row r="5" spans="1:49" ht="4.95" customHeight="1">
      <c r="A5" s="5"/>
      <c r="B5" s="1"/>
      <c r="C5" s="1"/>
      <c r="Q5" s="4"/>
      <c r="R5" s="4"/>
      <c r="S5" s="4"/>
    </row>
    <row r="6" spans="1:49" ht="25.2" customHeight="1">
      <c r="A6" s="372" t="s">
        <v>21</v>
      </c>
      <c r="B6" s="372"/>
      <c r="C6" s="373" t="s">
        <v>22</v>
      </c>
      <c r="D6" s="373"/>
      <c r="E6" s="373"/>
      <c r="F6" s="373"/>
      <c r="G6" s="373"/>
      <c r="H6" s="373"/>
      <c r="I6" s="373"/>
      <c r="J6" s="373"/>
      <c r="K6" s="373"/>
      <c r="L6" s="373"/>
      <c r="M6" s="373"/>
      <c r="N6" s="373"/>
      <c r="O6" s="373"/>
      <c r="P6" s="373"/>
      <c r="Q6" s="373"/>
      <c r="R6" s="373"/>
      <c r="S6" s="373"/>
    </row>
    <row r="7" spans="1:49" ht="19.95" customHeight="1">
      <c r="A7" s="372"/>
      <c r="B7" s="372"/>
      <c r="C7" s="368" t="s">
        <v>33</v>
      </c>
      <c r="D7" s="349" t="s">
        <v>34</v>
      </c>
      <c r="E7" s="350"/>
      <c r="F7" s="350"/>
      <c r="G7" s="350"/>
      <c r="H7" s="350"/>
      <c r="I7" s="350"/>
      <c r="J7" s="350"/>
      <c r="K7" s="350"/>
      <c r="L7" s="350"/>
      <c r="M7" s="350"/>
      <c r="N7" s="350"/>
      <c r="O7" s="350"/>
      <c r="P7" s="350"/>
      <c r="Q7" s="350"/>
      <c r="R7" s="350"/>
      <c r="S7" s="351"/>
    </row>
    <row r="8" spans="1:49" ht="15" customHeight="1">
      <c r="A8" s="372"/>
      <c r="B8" s="372"/>
      <c r="C8" s="369"/>
      <c r="D8" s="354" t="s">
        <v>0</v>
      </c>
      <c r="E8" s="354" t="s">
        <v>1</v>
      </c>
      <c r="F8" s="354" t="s">
        <v>25</v>
      </c>
      <c r="G8" s="354" t="s">
        <v>26</v>
      </c>
      <c r="H8" s="354" t="s">
        <v>27</v>
      </c>
      <c r="I8" s="354" t="s">
        <v>28</v>
      </c>
      <c r="J8" s="354" t="s">
        <v>29</v>
      </c>
      <c r="K8" s="354" t="s">
        <v>30</v>
      </c>
      <c r="L8" s="354" t="s">
        <v>31</v>
      </c>
      <c r="M8" s="354" t="s">
        <v>32</v>
      </c>
      <c r="N8" s="354" t="s">
        <v>91</v>
      </c>
      <c r="O8" s="354" t="s">
        <v>92</v>
      </c>
      <c r="P8" s="13"/>
      <c r="Q8" s="354" t="s">
        <v>35</v>
      </c>
      <c r="R8" s="354" t="s">
        <v>36</v>
      </c>
      <c r="S8" s="354" t="s">
        <v>37</v>
      </c>
      <c r="T8" s="365" t="s">
        <v>4</v>
      </c>
      <c r="U8" s="365"/>
      <c r="V8" s="365"/>
      <c r="W8" s="365" t="s">
        <v>5</v>
      </c>
      <c r="X8" s="365"/>
      <c r="Y8" s="365"/>
      <c r="Z8" s="365" t="s">
        <v>7</v>
      </c>
      <c r="AA8" s="365"/>
      <c r="AB8" s="365"/>
      <c r="AC8" s="365" t="s">
        <v>8</v>
      </c>
      <c r="AD8" s="365"/>
      <c r="AE8" s="365"/>
      <c r="AF8" s="365" t="s">
        <v>9</v>
      </c>
      <c r="AG8" s="365"/>
      <c r="AH8" s="365"/>
      <c r="AI8" s="365" t="s">
        <v>10</v>
      </c>
      <c r="AJ8" s="365"/>
      <c r="AK8" s="365"/>
      <c r="AL8" s="365" t="s">
        <v>11</v>
      </c>
      <c r="AM8" s="365"/>
      <c r="AN8" s="365"/>
      <c r="AO8" s="365" t="s">
        <v>12</v>
      </c>
      <c r="AP8" s="365"/>
      <c r="AQ8" s="365"/>
      <c r="AR8" s="365" t="s">
        <v>13</v>
      </c>
      <c r="AS8" s="365"/>
      <c r="AT8" s="365"/>
      <c r="AU8" s="365" t="s">
        <v>14</v>
      </c>
      <c r="AV8" s="365"/>
      <c r="AW8" s="365"/>
    </row>
    <row r="9" spans="1:49" ht="25.2" customHeight="1">
      <c r="A9" s="43" t="s">
        <v>38</v>
      </c>
      <c r="B9" s="54" t="s">
        <v>39</v>
      </c>
      <c r="C9" s="369"/>
      <c r="D9" s="356"/>
      <c r="E9" s="356"/>
      <c r="F9" s="356"/>
      <c r="G9" s="356"/>
      <c r="H9" s="356"/>
      <c r="I9" s="356"/>
      <c r="J9" s="356"/>
      <c r="K9" s="356"/>
      <c r="L9" s="356"/>
      <c r="M9" s="356"/>
      <c r="N9" s="356"/>
      <c r="O9" s="356"/>
      <c r="P9" s="13" t="s">
        <v>3</v>
      </c>
      <c r="Q9" s="355"/>
      <c r="R9" s="355"/>
      <c r="S9" s="355"/>
      <c r="T9" s="2" t="s">
        <v>2</v>
      </c>
      <c r="U9" s="6" t="s">
        <v>6</v>
      </c>
      <c r="V9" s="7" t="s">
        <v>23</v>
      </c>
      <c r="W9" s="2" t="s">
        <v>2</v>
      </c>
      <c r="X9" s="6" t="s">
        <v>6</v>
      </c>
      <c r="Y9" s="7" t="s">
        <v>23</v>
      </c>
      <c r="Z9" s="2" t="s">
        <v>2</v>
      </c>
      <c r="AA9" s="6" t="s">
        <v>6</v>
      </c>
      <c r="AB9" s="7" t="s">
        <v>23</v>
      </c>
      <c r="AC9" s="2" t="s">
        <v>2</v>
      </c>
      <c r="AD9" s="6" t="s">
        <v>6</v>
      </c>
      <c r="AE9" s="7" t="s">
        <v>23</v>
      </c>
      <c r="AF9" s="2" t="s">
        <v>2</v>
      </c>
      <c r="AG9" s="6" t="s">
        <v>6</v>
      </c>
      <c r="AH9" s="7" t="s">
        <v>23</v>
      </c>
      <c r="AI9" s="2" t="s">
        <v>2</v>
      </c>
      <c r="AJ9" s="6" t="s">
        <v>6</v>
      </c>
      <c r="AK9" s="7" t="s">
        <v>23</v>
      </c>
      <c r="AL9" s="2" t="s">
        <v>2</v>
      </c>
      <c r="AM9" s="6" t="s">
        <v>6</v>
      </c>
      <c r="AN9" s="7" t="s">
        <v>23</v>
      </c>
      <c r="AO9" s="2" t="s">
        <v>2</v>
      </c>
      <c r="AP9" s="6" t="s">
        <v>6</v>
      </c>
      <c r="AQ9" s="7" t="s">
        <v>23</v>
      </c>
      <c r="AR9" s="2" t="s">
        <v>2</v>
      </c>
      <c r="AS9" s="6" t="s">
        <v>6</v>
      </c>
      <c r="AT9" s="7" t="s">
        <v>23</v>
      </c>
      <c r="AU9" s="2" t="s">
        <v>2</v>
      </c>
      <c r="AV9" s="6" t="s">
        <v>6</v>
      </c>
      <c r="AW9" s="7" t="s">
        <v>23</v>
      </c>
    </row>
    <row r="10" spans="1:49" ht="22.95" customHeight="1">
      <c r="A10" s="16" t="str">
        <f>'[1]บางบัวทอง-ผลิต'!C12</f>
        <v>องุ่นดำไร้เมล็ด 150 กรัม x36P</v>
      </c>
      <c r="B10" s="14">
        <v>36</v>
      </c>
      <c r="C10" s="14" cm="1">
        <f t="array" ref="C10">SUMPRODUCT(ROUNDUP(D10:O10/B10, 0))</f>
        <v>0</v>
      </c>
      <c r="D10" s="150">
        <f>ทดสอบ!E15</f>
        <v>0</v>
      </c>
      <c r="E10" s="150">
        <f>ทดสอบ!F15</f>
        <v>0</v>
      </c>
      <c r="F10" s="150">
        <f>ทดสอบ!G15</f>
        <v>0</v>
      </c>
      <c r="G10" s="150">
        <f>ทดสอบ!H15</f>
        <v>0</v>
      </c>
      <c r="H10" s="150">
        <f>ทดสอบ!I15</f>
        <v>0</v>
      </c>
      <c r="I10" s="150">
        <f>ทดสอบ!J15</f>
        <v>0</v>
      </c>
      <c r="J10" s="150">
        <f>ทดสอบ!K15</f>
        <v>0</v>
      </c>
      <c r="K10" s="150">
        <f>ทดสอบ!L15</f>
        <v>0</v>
      </c>
      <c r="L10" s="150">
        <f>ทดสอบ!M15</f>
        <v>0</v>
      </c>
      <c r="M10" s="150">
        <f>ทดสอบ!N15</f>
        <v>0</v>
      </c>
      <c r="N10" s="150">
        <f>ทดสอบ!O15</f>
        <v>0</v>
      </c>
      <c r="O10" s="150">
        <f>ทดสอบ!P15</f>
        <v>0</v>
      </c>
      <c r="P10" s="64" t="e">
        <f>ทดสอบ!#REF!</f>
        <v>#REF!</v>
      </c>
      <c r="Q10" s="14"/>
      <c r="R10" s="14"/>
      <c r="S10" s="14"/>
      <c r="T10" s="8">
        <f t="shared" ref="T10:T15" si="0">INT(D10/B10)</f>
        <v>0</v>
      </c>
      <c r="U10" s="9">
        <f t="shared" ref="U10:U15" si="1">IF(MOD(D10,B10)/B10&gt;0.5,1,0)</f>
        <v>0</v>
      </c>
      <c r="V10" s="10">
        <f t="shared" ref="V10:V15" si="2">IF(AND(MOD(D10,B10)/B10&lt;=0.5,MOD(D10,B10)&lt;&gt;0),1,0)</f>
        <v>0</v>
      </c>
      <c r="W10" s="8">
        <f>INT(E10/B10)</f>
        <v>0</v>
      </c>
      <c r="X10" s="9">
        <f>IF(MOD(E10,B10)/B10&gt;0.5,1,0)</f>
        <v>0</v>
      </c>
      <c r="Y10" s="10">
        <f>IF(AND(MOD(E10,B10)/B10&lt;=0.5,MOD(E10,B10)&lt;&gt;0),1,0)</f>
        <v>0</v>
      </c>
      <c r="Z10" s="8">
        <f t="shared" ref="Z10:Z15" si="3">INT(F10/B10)</f>
        <v>0</v>
      </c>
      <c r="AA10" s="9">
        <f t="shared" ref="AA10:AA15" si="4">IF(MOD(F10,B10)/B10&gt;0.5,1,0)</f>
        <v>0</v>
      </c>
      <c r="AB10" s="10">
        <f t="shared" ref="AB10:AB15" si="5">IF(AND(MOD(F10,B10)/B10&lt;=0.5,MOD(F10,B10)&lt;&gt;0),1,0)</f>
        <v>0</v>
      </c>
      <c r="AC10" s="8">
        <f>INT(G10/B10)</f>
        <v>0</v>
      </c>
      <c r="AD10" s="9">
        <f>IF(MOD(G10,B10)/B10&gt;0.5,1,0)</f>
        <v>0</v>
      </c>
      <c r="AE10" s="10">
        <f>IF(AND(MOD(G10,B10)/B10&lt;=0.5,MOD(G10,B10)&lt;&gt;0),1,0)</f>
        <v>0</v>
      </c>
      <c r="AF10" s="8">
        <f>INT(H10/B10)</f>
        <v>0</v>
      </c>
      <c r="AG10" s="9">
        <f>IF(MOD(H10,B10)/B10&gt;0.5,1,0)</f>
        <v>0</v>
      </c>
      <c r="AH10" s="10">
        <f>IF(AND(MOD(H10,B10)/B10&lt;=0.5,MOD(H10,B10)&lt;&gt;0),1,0)</f>
        <v>0</v>
      </c>
      <c r="AI10" s="8">
        <f>INT(I10/B10)</f>
        <v>0</v>
      </c>
      <c r="AJ10" s="9">
        <f>IF(MOD(I10,B10)/B10&gt;0.5,1,0)</f>
        <v>0</v>
      </c>
      <c r="AK10" s="10">
        <f>IF(AND(MOD(I10,B10)/B10&lt;=0.5,MOD(I10,B10)&lt;&gt;0),1,0)</f>
        <v>0</v>
      </c>
      <c r="AL10" s="8">
        <f>INT(J10/B10)</f>
        <v>0</v>
      </c>
      <c r="AM10" s="9">
        <f>IF(MOD(J10,B10)/B10&gt;0.5,1,0)</f>
        <v>0</v>
      </c>
      <c r="AN10" s="10">
        <f>IF(AND(MOD(J10,B10)/B10&lt;=0.5,MOD(J10,B10)&lt;&gt;0),1,0)</f>
        <v>0</v>
      </c>
      <c r="AO10" s="8">
        <f>INT(K10/B10)</f>
        <v>0</v>
      </c>
      <c r="AP10" s="9">
        <f>IF(MOD(K10,B10)/B10&gt;0.5,1,0)</f>
        <v>0</v>
      </c>
      <c r="AQ10" s="10">
        <f>IF(AND(MOD(K10,B10)/B10&lt;=0.5,MOD(K10,B10)&lt;&gt;0),1,0)</f>
        <v>0</v>
      </c>
      <c r="AR10" s="8">
        <f>INT(L10/B10)</f>
        <v>0</v>
      </c>
      <c r="AS10" s="9">
        <f>IF(MOD(L10,B10)/B10&gt;0.5,1,0)</f>
        <v>0</v>
      </c>
      <c r="AT10" s="10">
        <f>IF(AND(MOD(L10,B10)/B10&lt;=0.5,MOD(L10,B10)&lt;&gt;0),1,0)</f>
        <v>0</v>
      </c>
      <c r="AU10" s="8">
        <f>INT(O10/B10)</f>
        <v>0</v>
      </c>
      <c r="AV10" s="9">
        <f>IF(MOD(O10,B10)/B10&gt;0.5,1,0)</f>
        <v>0</v>
      </c>
      <c r="AW10" s="10">
        <f>IF(AND(MOD(O10,B10)/B10&lt;=0.5,MOD(O10,B10)&lt;&gt;0),1,0)</f>
        <v>0</v>
      </c>
    </row>
    <row r="11" spans="1:49" ht="22.95" customHeight="1">
      <c r="A11" s="16" t="str">
        <f>'[1]บางบัวทอง-ผลิต'!C14</f>
        <v>องุ่นแดงนอกมีเมล็ด 200 กรัม x 32 P</v>
      </c>
      <c r="B11" s="14">
        <v>32</v>
      </c>
      <c r="C11" s="14" cm="1">
        <f t="array" ref="C11">SUMPRODUCT(ROUNDUP(D11:O11/B11, 0))</f>
        <v>0</v>
      </c>
      <c r="D11" s="150">
        <f>ทดสอบ!E17</f>
        <v>0</v>
      </c>
      <c r="E11" s="150">
        <f>ทดสอบ!F17</f>
        <v>0</v>
      </c>
      <c r="F11" s="150">
        <f>ทดสอบ!G17</f>
        <v>0</v>
      </c>
      <c r="G11" s="150">
        <f>ทดสอบ!H17</f>
        <v>0</v>
      </c>
      <c r="H11" s="150">
        <f>ทดสอบ!I17</f>
        <v>0</v>
      </c>
      <c r="I11" s="150">
        <f>ทดสอบ!J17</f>
        <v>0</v>
      </c>
      <c r="J11" s="150">
        <f>ทดสอบ!K17</f>
        <v>0</v>
      </c>
      <c r="K11" s="150">
        <f>ทดสอบ!L17</f>
        <v>0</v>
      </c>
      <c r="L11" s="150">
        <f>ทดสอบ!M17</f>
        <v>0</v>
      </c>
      <c r="M11" s="150">
        <f>ทดสอบ!N17</f>
        <v>0</v>
      </c>
      <c r="N11" s="150">
        <f>ทดสอบ!O17</f>
        <v>0</v>
      </c>
      <c r="O11" s="150">
        <f>ทดสอบ!P17</f>
        <v>0</v>
      </c>
      <c r="P11" s="64" t="str">
        <f t="shared" ref="P11:P15" si="6">INT(SUM(D11:O11)/B11) &amp; " full, " &amp; IF(MOD(SUM(D11:O11), B11)/B11 &lt;= 0.5, "1 less than half", IF(MOD(SUM(D11:O11), B11)/B11 &gt; 0.5, "1 more than half", ""))</f>
        <v>0 full, 1 less than half</v>
      </c>
      <c r="Q11" s="14"/>
      <c r="R11" s="14"/>
      <c r="S11" s="14"/>
      <c r="T11" s="8">
        <f t="shared" si="0"/>
        <v>0</v>
      </c>
      <c r="U11" s="9">
        <f t="shared" si="1"/>
        <v>0</v>
      </c>
      <c r="V11" s="10">
        <f t="shared" si="2"/>
        <v>0</v>
      </c>
      <c r="W11" s="8">
        <f t="shared" ref="W11:W15" si="7">INT(E11/B11)</f>
        <v>0</v>
      </c>
      <c r="X11" s="9">
        <f t="shared" ref="X11:X15" si="8">IF(MOD(E11,B11)/B11&gt;0.5,1,0)</f>
        <v>0</v>
      </c>
      <c r="Y11" s="10">
        <f t="shared" ref="Y11:Y15" si="9">IF(AND(MOD(E11,B11)/B11&lt;=0.5,MOD(E11,B11)&lt;&gt;0),1,0)</f>
        <v>0</v>
      </c>
      <c r="Z11" s="8">
        <f t="shared" si="3"/>
        <v>0</v>
      </c>
      <c r="AA11" s="9">
        <f t="shared" si="4"/>
        <v>0</v>
      </c>
      <c r="AB11" s="10">
        <f t="shared" si="5"/>
        <v>0</v>
      </c>
      <c r="AC11" s="8">
        <f t="shared" ref="AC11:AC15" si="10">INT(G11/B11)</f>
        <v>0</v>
      </c>
      <c r="AD11" s="9">
        <f t="shared" ref="AD11:AD15" si="11">IF(MOD(G11,B11)/B11&gt;0.5,1,0)</f>
        <v>0</v>
      </c>
      <c r="AE11" s="10">
        <f t="shared" ref="AE11:AE15" si="12">IF(AND(MOD(G11,B11)/B11&lt;=0.5,MOD(G11,B11)&lt;&gt;0),1,0)</f>
        <v>0</v>
      </c>
      <c r="AF11" s="8">
        <f t="shared" ref="AF11:AF15" si="13">INT(H11/B11)</f>
        <v>0</v>
      </c>
      <c r="AG11" s="9">
        <f t="shared" ref="AG11:AG15" si="14">IF(MOD(H11,B11)/B11&gt;0.5,1,0)</f>
        <v>0</v>
      </c>
      <c r="AH11" s="10">
        <f t="shared" ref="AH11:AH15" si="15">IF(AND(MOD(H11,B11)/B11&lt;=0.5,MOD(H11,B11)&lt;&gt;0),1,0)</f>
        <v>0</v>
      </c>
      <c r="AI11" s="8">
        <f t="shared" ref="AI11:AI15" si="16">INT(I11/B11)</f>
        <v>0</v>
      </c>
      <c r="AJ11" s="9">
        <f t="shared" ref="AJ11:AJ15" si="17">IF(MOD(I11,B11)/B11&gt;0.5,1,0)</f>
        <v>0</v>
      </c>
      <c r="AK11" s="10">
        <f t="shared" ref="AK11:AK15" si="18">IF(AND(MOD(I11,B11)/B11&lt;=0.5,MOD(I11,B11)&lt;&gt;0),1,0)</f>
        <v>0</v>
      </c>
      <c r="AL11" s="8">
        <f t="shared" ref="AL11:AL15" si="19">INT(J11/B11)</f>
        <v>0</v>
      </c>
      <c r="AM11" s="9">
        <f t="shared" ref="AM11:AM15" si="20">IF(MOD(J11,B11)/B11&gt;0.5,1,0)</f>
        <v>0</v>
      </c>
      <c r="AN11" s="10">
        <f t="shared" ref="AN11:AN15" si="21">IF(AND(MOD(J11,B11)/B11&lt;=0.5,MOD(J11,B11)&lt;&gt;0),1,0)</f>
        <v>0</v>
      </c>
      <c r="AO11" s="8">
        <f t="shared" ref="AO11:AO15" si="22">INT(K11/B11)</f>
        <v>0</v>
      </c>
      <c r="AP11" s="9">
        <f t="shared" ref="AP11:AP15" si="23">IF(MOD(K11,B11)/B11&gt;0.5,1,0)</f>
        <v>0</v>
      </c>
      <c r="AQ11" s="10">
        <f t="shared" ref="AQ11:AQ15" si="24">IF(AND(MOD(K11,B11)/B11&lt;=0.5,MOD(K11,B11)&lt;&gt;0),1,0)</f>
        <v>0</v>
      </c>
      <c r="AR11" s="8">
        <f t="shared" ref="AR11:AR15" si="25">INT(L11/B11)</f>
        <v>0</v>
      </c>
      <c r="AS11" s="9">
        <f t="shared" ref="AS11:AS15" si="26">IF(MOD(L11,B11)/B11&gt;0.5,1,0)</f>
        <v>0</v>
      </c>
      <c r="AT11" s="10">
        <f t="shared" ref="AT11:AT15" si="27">IF(AND(MOD(L11,B11)/B11&lt;=0.5,MOD(L11,B11)&lt;&gt;0),1,0)</f>
        <v>0</v>
      </c>
      <c r="AU11" s="8">
        <f t="shared" ref="AU11:AU15" si="28">INT(O11/B11)</f>
        <v>0</v>
      </c>
      <c r="AV11" s="9">
        <f t="shared" ref="AV11:AV15" si="29">IF(MOD(O11,B11)/B11&gt;0.5,1,0)</f>
        <v>0</v>
      </c>
      <c r="AW11" s="10">
        <f t="shared" ref="AW11:AW15" si="30">IF(AND(MOD(O11,B11)/B11&lt;=0.5,MOD(O11,B11)&lt;&gt;0),1,0)</f>
        <v>0</v>
      </c>
    </row>
    <row r="12" spans="1:49" ht="22.95" customHeight="1">
      <c r="A12" s="151" t="s">
        <v>126</v>
      </c>
      <c r="B12" s="14">
        <v>36</v>
      </c>
      <c r="C12" s="14" cm="1">
        <f t="array" ref="C12">SUMPRODUCT(ROUNDUP(D12:O12/B12, 0))</f>
        <v>0</v>
      </c>
      <c r="D12" s="150">
        <f>ทดสอบ!E19</f>
        <v>0</v>
      </c>
      <c r="E12" s="150">
        <f>ทดสอบ!F19</f>
        <v>0</v>
      </c>
      <c r="F12" s="150">
        <f>ทดสอบ!G19</f>
        <v>0</v>
      </c>
      <c r="G12" s="150">
        <f>ทดสอบ!H19</f>
        <v>0</v>
      </c>
      <c r="H12" s="150">
        <f>ทดสอบ!I19</f>
        <v>0</v>
      </c>
      <c r="I12" s="150">
        <f>ทดสอบ!J19</f>
        <v>0</v>
      </c>
      <c r="J12" s="150">
        <f>ทดสอบ!K19</f>
        <v>0</v>
      </c>
      <c r="K12" s="150">
        <f>ทดสอบ!L19</f>
        <v>0</v>
      </c>
      <c r="L12" s="150">
        <f>ทดสอบ!M19</f>
        <v>0</v>
      </c>
      <c r="M12" s="150">
        <f>ทดสอบ!N19</f>
        <v>0</v>
      </c>
      <c r="N12" s="150">
        <f>ทดสอบ!O19</f>
        <v>0</v>
      </c>
      <c r="O12" s="150">
        <f>ทดสอบ!P19</f>
        <v>0</v>
      </c>
      <c r="P12" s="64" t="str">
        <f t="shared" si="6"/>
        <v>0 full, 1 less than half</v>
      </c>
      <c r="Q12" s="14"/>
      <c r="R12" s="14"/>
      <c r="S12" s="14"/>
      <c r="T12" s="8">
        <f t="shared" si="0"/>
        <v>0</v>
      </c>
      <c r="U12" s="9">
        <f t="shared" si="1"/>
        <v>0</v>
      </c>
      <c r="V12" s="10">
        <f t="shared" si="2"/>
        <v>0</v>
      </c>
      <c r="W12" s="8">
        <f t="shared" si="7"/>
        <v>0</v>
      </c>
      <c r="X12" s="9">
        <f t="shared" si="8"/>
        <v>0</v>
      </c>
      <c r="Y12" s="10">
        <f t="shared" si="9"/>
        <v>0</v>
      </c>
      <c r="Z12" s="8">
        <f t="shared" si="3"/>
        <v>0</v>
      </c>
      <c r="AA12" s="9">
        <f t="shared" si="4"/>
        <v>0</v>
      </c>
      <c r="AB12" s="10">
        <f t="shared" si="5"/>
        <v>0</v>
      </c>
      <c r="AC12" s="8">
        <f t="shared" si="10"/>
        <v>0</v>
      </c>
      <c r="AD12" s="9">
        <f t="shared" si="11"/>
        <v>0</v>
      </c>
      <c r="AE12" s="10">
        <f t="shared" si="12"/>
        <v>0</v>
      </c>
      <c r="AF12" s="8">
        <f t="shared" si="13"/>
        <v>0</v>
      </c>
      <c r="AG12" s="9">
        <f t="shared" si="14"/>
        <v>0</v>
      </c>
      <c r="AH12" s="10">
        <f t="shared" si="15"/>
        <v>0</v>
      </c>
      <c r="AI12" s="8">
        <f t="shared" si="16"/>
        <v>0</v>
      </c>
      <c r="AJ12" s="9">
        <f t="shared" si="17"/>
        <v>0</v>
      </c>
      <c r="AK12" s="10">
        <f t="shared" si="18"/>
        <v>0</v>
      </c>
      <c r="AL12" s="8">
        <f t="shared" si="19"/>
        <v>0</v>
      </c>
      <c r="AM12" s="9">
        <f t="shared" si="20"/>
        <v>0</v>
      </c>
      <c r="AN12" s="10">
        <f t="shared" si="21"/>
        <v>0</v>
      </c>
      <c r="AO12" s="8">
        <f t="shared" si="22"/>
        <v>0</v>
      </c>
      <c r="AP12" s="9">
        <f t="shared" si="23"/>
        <v>0</v>
      </c>
      <c r="AQ12" s="10">
        <f t="shared" si="24"/>
        <v>0</v>
      </c>
      <c r="AR12" s="8">
        <f t="shared" si="25"/>
        <v>0</v>
      </c>
      <c r="AS12" s="9">
        <f t="shared" si="26"/>
        <v>0</v>
      </c>
      <c r="AT12" s="10">
        <f t="shared" si="27"/>
        <v>0</v>
      </c>
      <c r="AU12" s="8">
        <f t="shared" si="28"/>
        <v>0</v>
      </c>
      <c r="AV12" s="9">
        <f t="shared" si="29"/>
        <v>0</v>
      </c>
      <c r="AW12" s="10">
        <f t="shared" si="30"/>
        <v>0</v>
      </c>
    </row>
    <row r="13" spans="1:49" ht="22.95" customHeight="1">
      <c r="A13" s="151" t="s">
        <v>142</v>
      </c>
      <c r="B13" s="14">
        <v>14</v>
      </c>
      <c r="C13" s="14" cm="1">
        <f t="array" ref="C13">SUMPRODUCT(ROUNDUP(D13:O13/B13, 0))</f>
        <v>0</v>
      </c>
      <c r="D13" s="150">
        <f>ทดสอบ!E21</f>
        <v>0</v>
      </c>
      <c r="E13" s="150">
        <f>ทดสอบ!F21</f>
        <v>0</v>
      </c>
      <c r="F13" s="150">
        <f>ทดสอบ!G21</f>
        <v>0</v>
      </c>
      <c r="G13" s="150">
        <f>ทดสอบ!H21</f>
        <v>0</v>
      </c>
      <c r="H13" s="150">
        <f>ทดสอบ!I21</f>
        <v>0</v>
      </c>
      <c r="I13" s="150">
        <f>ทดสอบ!J21</f>
        <v>0</v>
      </c>
      <c r="J13" s="150">
        <f>ทดสอบ!K21</f>
        <v>0</v>
      </c>
      <c r="K13" s="150">
        <f>ทดสอบ!L21</f>
        <v>0</v>
      </c>
      <c r="L13" s="150">
        <f>ทดสอบ!M21</f>
        <v>0</v>
      </c>
      <c r="M13" s="150">
        <f>ทดสอบ!N21</f>
        <v>0</v>
      </c>
      <c r="N13" s="150">
        <f>ทดสอบ!O21</f>
        <v>0</v>
      </c>
      <c r="O13" s="150">
        <f>ทดสอบ!P21</f>
        <v>0</v>
      </c>
      <c r="P13" s="64" t="str">
        <f t="shared" si="6"/>
        <v>0 full, 1 less than half</v>
      </c>
      <c r="Q13" s="14"/>
      <c r="R13" s="14"/>
      <c r="S13" s="14"/>
      <c r="T13" s="8">
        <f t="shared" si="0"/>
        <v>0</v>
      </c>
      <c r="U13" s="9">
        <f t="shared" si="1"/>
        <v>0</v>
      </c>
      <c r="V13" s="10">
        <f t="shared" si="2"/>
        <v>0</v>
      </c>
      <c r="W13" s="8">
        <f t="shared" si="7"/>
        <v>0</v>
      </c>
      <c r="X13" s="9">
        <f t="shared" si="8"/>
        <v>0</v>
      </c>
      <c r="Y13" s="10">
        <f t="shared" si="9"/>
        <v>0</v>
      </c>
      <c r="Z13" s="8">
        <f t="shared" si="3"/>
        <v>0</v>
      </c>
      <c r="AA13" s="9">
        <f t="shared" si="4"/>
        <v>0</v>
      </c>
      <c r="AB13" s="10">
        <f t="shared" si="5"/>
        <v>0</v>
      </c>
      <c r="AC13" s="8">
        <f t="shared" si="10"/>
        <v>0</v>
      </c>
      <c r="AD13" s="9">
        <f t="shared" si="11"/>
        <v>0</v>
      </c>
      <c r="AE13" s="10">
        <f t="shared" si="12"/>
        <v>0</v>
      </c>
      <c r="AF13" s="8">
        <f t="shared" si="13"/>
        <v>0</v>
      </c>
      <c r="AG13" s="9">
        <f t="shared" si="14"/>
        <v>0</v>
      </c>
      <c r="AH13" s="10">
        <f t="shared" si="15"/>
        <v>0</v>
      </c>
      <c r="AI13" s="8">
        <f t="shared" si="16"/>
        <v>0</v>
      </c>
      <c r="AJ13" s="9">
        <f t="shared" si="17"/>
        <v>0</v>
      </c>
      <c r="AK13" s="10">
        <f t="shared" si="18"/>
        <v>0</v>
      </c>
      <c r="AL13" s="8">
        <f t="shared" si="19"/>
        <v>0</v>
      </c>
      <c r="AM13" s="9">
        <f t="shared" si="20"/>
        <v>0</v>
      </c>
      <c r="AN13" s="10">
        <f t="shared" si="21"/>
        <v>0</v>
      </c>
      <c r="AO13" s="8">
        <f t="shared" si="22"/>
        <v>0</v>
      </c>
      <c r="AP13" s="9">
        <f t="shared" si="23"/>
        <v>0</v>
      </c>
      <c r="AQ13" s="10">
        <f t="shared" si="24"/>
        <v>0</v>
      </c>
      <c r="AR13" s="8">
        <f t="shared" si="25"/>
        <v>0</v>
      </c>
      <c r="AS13" s="9">
        <f t="shared" si="26"/>
        <v>0</v>
      </c>
      <c r="AT13" s="10">
        <f t="shared" si="27"/>
        <v>0</v>
      </c>
      <c r="AU13" s="8">
        <f t="shared" si="28"/>
        <v>0</v>
      </c>
      <c r="AV13" s="9">
        <f t="shared" si="29"/>
        <v>0</v>
      </c>
      <c r="AW13" s="10">
        <f t="shared" si="30"/>
        <v>0</v>
      </c>
    </row>
    <row r="14" spans="1:49" ht="22.95" customHeight="1">
      <c r="A14" s="151" t="s">
        <v>141</v>
      </c>
      <c r="B14" s="14">
        <v>14</v>
      </c>
      <c r="C14" s="14" cm="1">
        <f t="array" ref="C14">SUMPRODUCT(ROUNDUP(D14:O14/B14, 0))</f>
        <v>0</v>
      </c>
      <c r="D14" s="150">
        <f>ทดสอบ!E23</f>
        <v>0</v>
      </c>
      <c r="E14" s="150">
        <f>ทดสอบ!F23</f>
        <v>0</v>
      </c>
      <c r="F14" s="150">
        <f>ทดสอบ!G23</f>
        <v>0</v>
      </c>
      <c r="G14" s="150">
        <f>ทดสอบ!H23</f>
        <v>0</v>
      </c>
      <c r="H14" s="150">
        <f>ทดสอบ!I23</f>
        <v>0</v>
      </c>
      <c r="I14" s="150">
        <f>ทดสอบ!J23</f>
        <v>0</v>
      </c>
      <c r="J14" s="150">
        <f>ทดสอบ!K23</f>
        <v>0</v>
      </c>
      <c r="K14" s="150">
        <f>ทดสอบ!L23</f>
        <v>0</v>
      </c>
      <c r="L14" s="150">
        <f>ทดสอบ!M23</f>
        <v>0</v>
      </c>
      <c r="M14" s="150">
        <f>ทดสอบ!N23</f>
        <v>0</v>
      </c>
      <c r="N14" s="150">
        <f>ทดสอบ!O23</f>
        <v>0</v>
      </c>
      <c r="O14" s="150">
        <f>ทดสอบ!P23</f>
        <v>0</v>
      </c>
      <c r="P14" s="64"/>
      <c r="Q14" s="14"/>
      <c r="R14" s="14"/>
      <c r="S14" s="14"/>
      <c r="T14" s="8"/>
      <c r="U14" s="9"/>
      <c r="V14" s="10"/>
      <c r="W14" s="8"/>
      <c r="X14" s="9"/>
      <c r="Y14" s="10"/>
      <c r="Z14" s="8"/>
      <c r="AA14" s="9"/>
      <c r="AB14" s="10"/>
      <c r="AC14" s="8"/>
      <c r="AD14" s="9"/>
      <c r="AE14" s="10"/>
      <c r="AF14" s="8"/>
      <c r="AG14" s="9"/>
      <c r="AH14" s="10"/>
      <c r="AI14" s="8"/>
      <c r="AJ14" s="9"/>
      <c r="AK14" s="10"/>
      <c r="AL14" s="8"/>
      <c r="AM14" s="9"/>
      <c r="AN14" s="10"/>
      <c r="AO14" s="8"/>
      <c r="AP14" s="9"/>
      <c r="AQ14" s="10"/>
      <c r="AR14" s="8"/>
      <c r="AS14" s="9"/>
      <c r="AT14" s="10"/>
      <c r="AU14" s="8"/>
      <c r="AV14" s="9"/>
      <c r="AW14" s="10"/>
    </row>
    <row r="15" spans="1:49" ht="22.95" customHeight="1">
      <c r="A15" s="151" t="s">
        <v>62</v>
      </c>
      <c r="B15" s="14">
        <v>32</v>
      </c>
      <c r="C15" s="14" cm="1">
        <f t="array" ref="C15">SUMPRODUCT(ROUNDUP(D15:O15/B15, 0))</f>
        <v>0</v>
      </c>
      <c r="D15" s="150">
        <f>ทดสอบ!E25</f>
        <v>0</v>
      </c>
      <c r="E15" s="150">
        <f>ทดสอบ!F25</f>
        <v>0</v>
      </c>
      <c r="F15" s="150">
        <f>ทดสอบ!G25</f>
        <v>0</v>
      </c>
      <c r="G15" s="150">
        <f>ทดสอบ!H25</f>
        <v>0</v>
      </c>
      <c r="H15" s="150">
        <f>ทดสอบ!I25</f>
        <v>0</v>
      </c>
      <c r="I15" s="150">
        <f>ทดสอบ!J25</f>
        <v>0</v>
      </c>
      <c r="J15" s="150">
        <f>ทดสอบ!K25</f>
        <v>0</v>
      </c>
      <c r="K15" s="150">
        <f>ทดสอบ!L25</f>
        <v>0</v>
      </c>
      <c r="L15" s="150">
        <f>ทดสอบ!M25</f>
        <v>0</v>
      </c>
      <c r="M15" s="150">
        <f>ทดสอบ!N25</f>
        <v>0</v>
      </c>
      <c r="N15" s="150">
        <f>ทดสอบ!O25</f>
        <v>0</v>
      </c>
      <c r="O15" s="150">
        <f>ทดสอบ!P25</f>
        <v>0</v>
      </c>
      <c r="P15" s="64" t="str">
        <f t="shared" si="6"/>
        <v>0 full, 1 less than half</v>
      </c>
      <c r="Q15" s="14"/>
      <c r="R15" s="14"/>
      <c r="S15" s="14"/>
      <c r="T15" s="8">
        <f t="shared" si="0"/>
        <v>0</v>
      </c>
      <c r="U15" s="9">
        <f t="shared" si="1"/>
        <v>0</v>
      </c>
      <c r="V15" s="10">
        <f t="shared" si="2"/>
        <v>0</v>
      </c>
      <c r="W15" s="8">
        <f t="shared" si="7"/>
        <v>0</v>
      </c>
      <c r="X15" s="9">
        <f t="shared" si="8"/>
        <v>0</v>
      </c>
      <c r="Y15" s="10">
        <f t="shared" si="9"/>
        <v>0</v>
      </c>
      <c r="Z15" s="8">
        <f t="shared" si="3"/>
        <v>0</v>
      </c>
      <c r="AA15" s="9">
        <f t="shared" si="4"/>
        <v>0</v>
      </c>
      <c r="AB15" s="10">
        <f t="shared" si="5"/>
        <v>0</v>
      </c>
      <c r="AC15" s="8">
        <f t="shared" si="10"/>
        <v>0</v>
      </c>
      <c r="AD15" s="9">
        <f t="shared" si="11"/>
        <v>0</v>
      </c>
      <c r="AE15" s="10">
        <f t="shared" si="12"/>
        <v>0</v>
      </c>
      <c r="AF15" s="8">
        <f t="shared" si="13"/>
        <v>0</v>
      </c>
      <c r="AG15" s="9">
        <f t="shared" si="14"/>
        <v>0</v>
      </c>
      <c r="AH15" s="10">
        <f t="shared" si="15"/>
        <v>0</v>
      </c>
      <c r="AI15" s="8">
        <f t="shared" si="16"/>
        <v>0</v>
      </c>
      <c r="AJ15" s="9">
        <f t="shared" si="17"/>
        <v>0</v>
      </c>
      <c r="AK15" s="10">
        <f t="shared" si="18"/>
        <v>0</v>
      </c>
      <c r="AL15" s="8">
        <f t="shared" si="19"/>
        <v>0</v>
      </c>
      <c r="AM15" s="9">
        <f t="shared" si="20"/>
        <v>0</v>
      </c>
      <c r="AN15" s="10">
        <f t="shared" si="21"/>
        <v>0</v>
      </c>
      <c r="AO15" s="8">
        <f t="shared" si="22"/>
        <v>0</v>
      </c>
      <c r="AP15" s="9">
        <f t="shared" si="23"/>
        <v>0</v>
      </c>
      <c r="AQ15" s="10">
        <f t="shared" si="24"/>
        <v>0</v>
      </c>
      <c r="AR15" s="8">
        <f t="shared" si="25"/>
        <v>0</v>
      </c>
      <c r="AS15" s="9">
        <f t="shared" si="26"/>
        <v>0</v>
      </c>
      <c r="AT15" s="10">
        <f t="shared" si="27"/>
        <v>0</v>
      </c>
      <c r="AU15" s="8">
        <f t="shared" si="28"/>
        <v>0</v>
      </c>
      <c r="AV15" s="9">
        <f t="shared" si="29"/>
        <v>0</v>
      </c>
      <c r="AW15" s="10">
        <f t="shared" si="30"/>
        <v>0</v>
      </c>
    </row>
    <row r="16" spans="1:49" ht="22.95" customHeight="1">
      <c r="A16" s="152" t="s">
        <v>140</v>
      </c>
      <c r="B16" s="14">
        <v>27</v>
      </c>
      <c r="C16" s="14" cm="1">
        <f t="array" ref="C16">SUMPRODUCT(ROUNDUP(D16:O16/B16, 0))</f>
        <v>0</v>
      </c>
      <c r="D16" s="150">
        <f>ทดสอบ!E27</f>
        <v>0</v>
      </c>
      <c r="E16" s="150">
        <f>ทดสอบ!F27</f>
        <v>0</v>
      </c>
      <c r="F16" s="150">
        <f>ทดสอบ!G27</f>
        <v>0</v>
      </c>
      <c r="G16" s="150">
        <f>ทดสอบ!H27</f>
        <v>0</v>
      </c>
      <c r="H16" s="150">
        <f>ทดสอบ!I27</f>
        <v>0</v>
      </c>
      <c r="I16" s="150">
        <f>ทดสอบ!J27</f>
        <v>0</v>
      </c>
      <c r="J16" s="150">
        <f>ทดสอบ!K27</f>
        <v>0</v>
      </c>
      <c r="K16" s="150">
        <f>ทดสอบ!L27</f>
        <v>0</v>
      </c>
      <c r="L16" s="150">
        <f>ทดสอบ!M27</f>
        <v>0</v>
      </c>
      <c r="M16" s="150">
        <f>ทดสอบ!N27</f>
        <v>0</v>
      </c>
      <c r="N16" s="150">
        <f>ทดสอบ!O27</f>
        <v>0</v>
      </c>
      <c r="O16" s="150">
        <f>ทดสอบ!P27</f>
        <v>0</v>
      </c>
      <c r="P16" s="64"/>
      <c r="Q16" s="14"/>
      <c r="R16" s="14"/>
      <c r="S16" s="14"/>
      <c r="T16" s="8"/>
      <c r="U16" s="9"/>
      <c r="V16" s="10"/>
      <c r="W16" s="8"/>
      <c r="X16" s="9"/>
      <c r="Y16" s="10"/>
      <c r="Z16" s="8"/>
      <c r="AA16" s="9"/>
      <c r="AB16" s="10"/>
      <c r="AC16" s="8"/>
      <c r="AD16" s="9"/>
      <c r="AE16" s="10"/>
      <c r="AF16" s="8"/>
      <c r="AG16" s="9"/>
      <c r="AH16" s="10"/>
      <c r="AI16" s="8"/>
      <c r="AJ16" s="9"/>
      <c r="AK16" s="10"/>
      <c r="AL16" s="8"/>
      <c r="AM16" s="9"/>
      <c r="AN16" s="10"/>
      <c r="AO16" s="8"/>
      <c r="AP16" s="9"/>
      <c r="AQ16" s="10"/>
      <c r="AR16" s="8"/>
      <c r="AS16" s="9"/>
      <c r="AT16" s="10"/>
      <c r="AU16" s="8"/>
      <c r="AV16" s="9"/>
      <c r="AW16" s="10"/>
    </row>
    <row r="17" spans="1:49" ht="19.95" customHeight="1">
      <c r="A17" s="153" t="s">
        <v>63</v>
      </c>
      <c r="B17" s="14">
        <v>36</v>
      </c>
      <c r="C17" s="14" cm="1">
        <f t="array" ref="C17">SUMPRODUCT(ROUNDUP(D17:O17/B17, 0))</f>
        <v>0</v>
      </c>
      <c r="D17" s="150">
        <f>ทดสอบ!E29</f>
        <v>0</v>
      </c>
      <c r="E17" s="150">
        <f>ทดสอบ!F29</f>
        <v>0</v>
      </c>
      <c r="F17" s="150">
        <f>ทดสอบ!G29</f>
        <v>0</v>
      </c>
      <c r="G17" s="150">
        <f>ทดสอบ!H29</f>
        <v>0</v>
      </c>
      <c r="H17" s="150">
        <f>ทดสอบ!I29</f>
        <v>0</v>
      </c>
      <c r="I17" s="150">
        <f>ทดสอบ!J29</f>
        <v>0</v>
      </c>
      <c r="J17" s="150">
        <f>ทดสอบ!K29</f>
        <v>0</v>
      </c>
      <c r="K17" s="150">
        <f>ทดสอบ!L29</f>
        <v>0</v>
      </c>
      <c r="L17" s="150">
        <f>ทดสอบ!M29</f>
        <v>0</v>
      </c>
      <c r="M17" s="150">
        <f>ทดสอบ!N29</f>
        <v>0</v>
      </c>
      <c r="N17" s="150">
        <f>ทดสอบ!O29</f>
        <v>0</v>
      </c>
      <c r="O17" s="150">
        <f>ทดสอบ!P29</f>
        <v>0</v>
      </c>
      <c r="P17" s="64"/>
      <c r="Q17" s="14"/>
      <c r="R17" s="14"/>
      <c r="S17" s="14"/>
      <c r="T17" s="8"/>
      <c r="U17" s="9"/>
      <c r="V17" s="10"/>
      <c r="W17" s="8"/>
      <c r="X17" s="9"/>
      <c r="Y17" s="10"/>
      <c r="Z17" s="8"/>
      <c r="AA17" s="9"/>
      <c r="AB17" s="10"/>
      <c r="AC17" s="8"/>
      <c r="AD17" s="9"/>
      <c r="AE17" s="10"/>
      <c r="AF17" s="8"/>
      <c r="AG17" s="9"/>
      <c r="AH17" s="10"/>
      <c r="AI17" s="8"/>
      <c r="AJ17" s="9"/>
      <c r="AK17" s="10"/>
      <c r="AL17" s="8"/>
      <c r="AM17" s="9"/>
      <c r="AN17" s="10"/>
      <c r="AO17" s="8"/>
      <c r="AP17" s="9"/>
      <c r="AQ17" s="10"/>
      <c r="AR17" s="8"/>
      <c r="AS17" s="9"/>
      <c r="AT17" s="10"/>
      <c r="AU17" s="8"/>
      <c r="AV17" s="9"/>
      <c r="AW17" s="10"/>
    </row>
    <row r="18" spans="1:49" ht="19.95" customHeight="1">
      <c r="A18" s="151" t="s">
        <v>104</v>
      </c>
      <c r="B18" s="14">
        <v>20</v>
      </c>
      <c r="C18" s="14" cm="1">
        <f t="array" ref="C18">SUMPRODUCT(ROUNDUP(D18:O18/B18, 0))</f>
        <v>0</v>
      </c>
      <c r="D18" s="150">
        <f>ทดสอบ!E31</f>
        <v>0</v>
      </c>
      <c r="E18" s="150">
        <f>ทดสอบ!F31</f>
        <v>0</v>
      </c>
      <c r="F18" s="150">
        <f>ทดสอบ!G31</f>
        <v>0</v>
      </c>
      <c r="G18" s="150">
        <f>ทดสอบ!H31</f>
        <v>0</v>
      </c>
      <c r="H18" s="150">
        <f>ทดสอบ!I31</f>
        <v>0</v>
      </c>
      <c r="I18" s="150">
        <f>ทดสอบ!J31</f>
        <v>0</v>
      </c>
      <c r="J18" s="150">
        <f>ทดสอบ!K31</f>
        <v>0</v>
      </c>
      <c r="K18" s="150">
        <f>ทดสอบ!L31</f>
        <v>0</v>
      </c>
      <c r="L18" s="150">
        <f>ทดสอบ!M31</f>
        <v>0</v>
      </c>
      <c r="M18" s="150">
        <f>ทดสอบ!N31</f>
        <v>0</v>
      </c>
      <c r="N18" s="150">
        <f>ทดสอบ!O31</f>
        <v>0</v>
      </c>
      <c r="O18" s="150">
        <f>ทดสอบ!P31</f>
        <v>0</v>
      </c>
      <c r="P18" s="64"/>
      <c r="Q18" s="14"/>
      <c r="R18" s="14"/>
      <c r="S18" s="14"/>
      <c r="T18" s="8"/>
      <c r="U18" s="9"/>
      <c r="V18" s="10"/>
      <c r="W18" s="8"/>
      <c r="X18" s="9"/>
      <c r="Y18" s="10"/>
      <c r="Z18" s="8"/>
      <c r="AA18" s="9"/>
      <c r="AB18" s="10"/>
      <c r="AC18" s="8"/>
      <c r="AD18" s="9"/>
      <c r="AE18" s="10"/>
      <c r="AF18" s="8"/>
      <c r="AG18" s="9"/>
      <c r="AH18" s="10"/>
      <c r="AI18" s="8"/>
      <c r="AJ18" s="9"/>
      <c r="AK18" s="10"/>
      <c r="AL18" s="8"/>
      <c r="AM18" s="9"/>
      <c r="AN18" s="10"/>
      <c r="AO18" s="8"/>
      <c r="AP18" s="9"/>
      <c r="AQ18" s="10"/>
      <c r="AR18" s="8"/>
      <c r="AS18" s="9"/>
      <c r="AT18" s="10"/>
      <c r="AU18" s="8"/>
      <c r="AV18" s="9"/>
      <c r="AW18" s="10"/>
    </row>
    <row r="19" spans="1:49" ht="19.95" customHeight="1">
      <c r="A19" s="153" t="s">
        <v>129</v>
      </c>
      <c r="B19" s="14">
        <v>15</v>
      </c>
      <c r="C19" s="14" cm="1">
        <f t="array" ref="C19">SUMPRODUCT(ROUNDUP(D19:O19/B19, 0))</f>
        <v>0</v>
      </c>
      <c r="D19" s="150">
        <f>ทดสอบ!E33</f>
        <v>0</v>
      </c>
      <c r="E19" s="150">
        <f>ทดสอบ!F33</f>
        <v>0</v>
      </c>
      <c r="F19" s="150">
        <f>ทดสอบ!G33</f>
        <v>0</v>
      </c>
      <c r="G19" s="150">
        <f>ทดสอบ!H33</f>
        <v>0</v>
      </c>
      <c r="H19" s="150">
        <f>ทดสอบ!I33</f>
        <v>0</v>
      </c>
      <c r="I19" s="150">
        <f>ทดสอบ!J33</f>
        <v>0</v>
      </c>
      <c r="J19" s="150">
        <f>ทดสอบ!K33</f>
        <v>0</v>
      </c>
      <c r="K19" s="150">
        <f>ทดสอบ!L33</f>
        <v>0</v>
      </c>
      <c r="L19" s="150">
        <f>ทดสอบ!M33</f>
        <v>0</v>
      </c>
      <c r="M19" s="150">
        <f>ทดสอบ!N33</f>
        <v>0</v>
      </c>
      <c r="N19" s="150">
        <f>ทดสอบ!O33</f>
        <v>0</v>
      </c>
      <c r="O19" s="150">
        <f>ทดสอบ!P33</f>
        <v>0</v>
      </c>
      <c r="P19" s="64"/>
      <c r="Q19" s="14"/>
      <c r="R19" s="14"/>
      <c r="S19" s="14"/>
      <c r="T19" s="8"/>
      <c r="U19" s="9"/>
      <c r="V19" s="10"/>
      <c r="W19" s="8"/>
      <c r="X19" s="9"/>
      <c r="Y19" s="10"/>
      <c r="Z19" s="8"/>
      <c r="AA19" s="9"/>
      <c r="AB19" s="10"/>
      <c r="AC19" s="8"/>
      <c r="AD19" s="9"/>
      <c r="AE19" s="10"/>
      <c r="AF19" s="8"/>
      <c r="AG19" s="9"/>
      <c r="AH19" s="10"/>
      <c r="AI19" s="8"/>
      <c r="AJ19" s="9"/>
      <c r="AK19" s="10"/>
      <c r="AL19" s="8"/>
      <c r="AM19" s="9"/>
      <c r="AN19" s="10"/>
      <c r="AO19" s="8"/>
      <c r="AP19" s="9"/>
      <c r="AQ19" s="10"/>
      <c r="AR19" s="8"/>
      <c r="AS19" s="9"/>
      <c r="AT19" s="10"/>
      <c r="AU19" s="8"/>
      <c r="AV19" s="9"/>
      <c r="AW19" s="10"/>
    </row>
    <row r="20" spans="1:49" ht="19.95" customHeight="1">
      <c r="A20" s="153" t="s">
        <v>64</v>
      </c>
      <c r="B20" s="14">
        <v>45</v>
      </c>
      <c r="C20" s="14" cm="1">
        <f t="array" ref="C20">SUMPRODUCT(ROUNDUP(D20:O20/B20, 0))</f>
        <v>0</v>
      </c>
      <c r="D20" s="150">
        <f>ทดสอบ!E35</f>
        <v>0</v>
      </c>
      <c r="E20" s="150">
        <f>ทดสอบ!F35</f>
        <v>0</v>
      </c>
      <c r="F20" s="150">
        <f>ทดสอบ!G35</f>
        <v>0</v>
      </c>
      <c r="G20" s="150">
        <f>ทดสอบ!H35</f>
        <v>0</v>
      </c>
      <c r="H20" s="150">
        <f>ทดสอบ!I35</f>
        <v>0</v>
      </c>
      <c r="I20" s="150">
        <f>ทดสอบ!J35</f>
        <v>0</v>
      </c>
      <c r="J20" s="150">
        <f>ทดสอบ!K35</f>
        <v>0</v>
      </c>
      <c r="K20" s="150">
        <f>ทดสอบ!L35</f>
        <v>0</v>
      </c>
      <c r="L20" s="150">
        <f>ทดสอบ!M35</f>
        <v>0</v>
      </c>
      <c r="M20" s="150">
        <f>ทดสอบ!N35</f>
        <v>0</v>
      </c>
      <c r="N20" s="150">
        <f>ทดสอบ!O35</f>
        <v>0</v>
      </c>
      <c r="O20" s="150">
        <f>ทดสอบ!P35</f>
        <v>0</v>
      </c>
      <c r="P20" s="64"/>
      <c r="Q20" s="14"/>
      <c r="R20" s="14"/>
      <c r="S20" s="14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  <c r="AE20" s="10"/>
      <c r="AF20" s="8"/>
      <c r="AG20" s="9"/>
      <c r="AH20" s="10"/>
      <c r="AI20" s="8"/>
      <c r="AJ20" s="9"/>
      <c r="AK20" s="10"/>
      <c r="AL20" s="8"/>
      <c r="AM20" s="9"/>
      <c r="AN20" s="10"/>
      <c r="AO20" s="8"/>
      <c r="AP20" s="9"/>
      <c r="AQ20" s="10"/>
      <c r="AR20" s="8"/>
      <c r="AS20" s="9"/>
      <c r="AT20" s="10"/>
      <c r="AU20" s="8"/>
      <c r="AV20" s="9"/>
      <c r="AW20" s="10"/>
    </row>
    <row r="21" spans="1:49" ht="19.95" customHeight="1">
      <c r="A21" s="153" t="s">
        <v>133</v>
      </c>
      <c r="B21" s="14">
        <v>15</v>
      </c>
      <c r="C21" s="14" cm="1">
        <f t="array" ref="C21">SUMPRODUCT(ROUNDUP(D21:O21/B21, 0))</f>
        <v>0</v>
      </c>
      <c r="D21" s="150">
        <f>ทดสอบ!E37</f>
        <v>0</v>
      </c>
      <c r="E21" s="150">
        <f>ทดสอบ!F37</f>
        <v>0</v>
      </c>
      <c r="F21" s="150">
        <f>ทดสอบ!G37</f>
        <v>0</v>
      </c>
      <c r="G21" s="150">
        <f>ทดสอบ!H37</f>
        <v>0</v>
      </c>
      <c r="H21" s="150">
        <f>ทดสอบ!I37</f>
        <v>0</v>
      </c>
      <c r="I21" s="150">
        <f>ทดสอบ!J37</f>
        <v>0</v>
      </c>
      <c r="J21" s="150">
        <f>ทดสอบ!K37</f>
        <v>0</v>
      </c>
      <c r="K21" s="150">
        <f>ทดสอบ!L37</f>
        <v>0</v>
      </c>
      <c r="L21" s="150">
        <f>ทดสอบ!M37</f>
        <v>0</v>
      </c>
      <c r="M21" s="150">
        <f>ทดสอบ!N37</f>
        <v>0</v>
      </c>
      <c r="N21" s="150">
        <f>ทดสอบ!O37</f>
        <v>0</v>
      </c>
      <c r="O21" s="150">
        <f>ทดสอบ!P37</f>
        <v>0</v>
      </c>
      <c r="P21" s="64"/>
      <c r="Q21" s="14"/>
      <c r="R21" s="14"/>
      <c r="S21" s="14"/>
      <c r="T21" s="8"/>
      <c r="U21" s="9"/>
      <c r="V21" s="10"/>
      <c r="W21" s="8"/>
      <c r="X21" s="9"/>
      <c r="Y21" s="10"/>
      <c r="Z21" s="8"/>
      <c r="AA21" s="9"/>
      <c r="AB21" s="10"/>
      <c r="AC21" s="8"/>
      <c r="AD21" s="9"/>
      <c r="AE21" s="10"/>
      <c r="AF21" s="8"/>
      <c r="AG21" s="9"/>
      <c r="AH21" s="10"/>
      <c r="AI21" s="8"/>
      <c r="AJ21" s="9"/>
      <c r="AK21" s="10"/>
      <c r="AL21" s="8"/>
      <c r="AM21" s="9"/>
      <c r="AN21" s="10"/>
      <c r="AO21" s="8"/>
      <c r="AP21" s="9"/>
      <c r="AQ21" s="10"/>
      <c r="AR21" s="8"/>
      <c r="AS21" s="9"/>
      <c r="AT21" s="10"/>
      <c r="AU21" s="8"/>
      <c r="AV21" s="9"/>
      <c r="AW21" s="10"/>
    </row>
    <row r="22" spans="1:49" ht="19.95" customHeight="1">
      <c r="A22" s="153" t="s">
        <v>109</v>
      </c>
      <c r="B22" s="14">
        <v>15</v>
      </c>
      <c r="C22" s="14" cm="1">
        <f t="array" ref="C22">SUMPRODUCT(ROUNDUP(D22:O22/B22, 0))</f>
        <v>0</v>
      </c>
      <c r="D22" s="150">
        <f>ทดสอบ!E39</f>
        <v>0</v>
      </c>
      <c r="E22" s="150">
        <f>ทดสอบ!F39</f>
        <v>0</v>
      </c>
      <c r="F22" s="150">
        <f>ทดสอบ!G39</f>
        <v>0</v>
      </c>
      <c r="G22" s="150">
        <f>ทดสอบ!H39</f>
        <v>0</v>
      </c>
      <c r="H22" s="150">
        <f>ทดสอบ!I39</f>
        <v>0</v>
      </c>
      <c r="I22" s="150">
        <f>ทดสอบ!J39</f>
        <v>0</v>
      </c>
      <c r="J22" s="150">
        <f>ทดสอบ!K39</f>
        <v>0</v>
      </c>
      <c r="K22" s="150">
        <f>ทดสอบ!L39</f>
        <v>0</v>
      </c>
      <c r="L22" s="150">
        <f>ทดสอบ!M39</f>
        <v>0</v>
      </c>
      <c r="M22" s="150">
        <f>ทดสอบ!N39</f>
        <v>0</v>
      </c>
      <c r="N22" s="150">
        <f>ทดสอบ!O39</f>
        <v>0</v>
      </c>
      <c r="O22" s="150">
        <f>ทดสอบ!P39</f>
        <v>0</v>
      </c>
      <c r="P22" s="64"/>
      <c r="Q22" s="14"/>
      <c r="R22" s="14"/>
      <c r="S22" s="14"/>
      <c r="T22" s="8"/>
      <c r="U22" s="9"/>
      <c r="V22" s="10"/>
      <c r="W22" s="8"/>
      <c r="X22" s="9"/>
      <c r="Y22" s="10"/>
      <c r="Z22" s="8"/>
      <c r="AA22" s="9"/>
      <c r="AB22" s="10"/>
      <c r="AC22" s="8"/>
      <c r="AD22" s="9"/>
      <c r="AE22" s="10"/>
      <c r="AF22" s="8"/>
      <c r="AG22" s="9"/>
      <c r="AH22" s="10"/>
      <c r="AI22" s="8"/>
      <c r="AJ22" s="9"/>
      <c r="AK22" s="10"/>
      <c r="AL22" s="8"/>
      <c r="AM22" s="9"/>
      <c r="AN22" s="10"/>
      <c r="AO22" s="8"/>
      <c r="AP22" s="9"/>
      <c r="AQ22" s="10"/>
      <c r="AR22" s="8"/>
      <c r="AS22" s="9"/>
      <c r="AT22" s="10"/>
      <c r="AU22" s="8"/>
      <c r="AV22" s="9"/>
      <c r="AW22" s="10"/>
    </row>
    <row r="23" spans="1:49" ht="19.95" customHeight="1">
      <c r="A23" s="153" t="s">
        <v>131</v>
      </c>
      <c r="B23" s="14">
        <v>27</v>
      </c>
      <c r="C23" s="14" cm="1">
        <f t="array" ref="C23">SUMPRODUCT(ROUNDUP(D23:O23/B23, 0))</f>
        <v>0</v>
      </c>
      <c r="D23" s="150">
        <f>ทดสอบ!E41</f>
        <v>0</v>
      </c>
      <c r="E23" s="150">
        <f>ทดสอบ!F41</f>
        <v>0</v>
      </c>
      <c r="F23" s="150">
        <f>ทดสอบ!G41</f>
        <v>0</v>
      </c>
      <c r="G23" s="150">
        <f>ทดสอบ!H41</f>
        <v>0</v>
      </c>
      <c r="H23" s="150">
        <f>ทดสอบ!I41</f>
        <v>0</v>
      </c>
      <c r="I23" s="150">
        <f>ทดสอบ!J41</f>
        <v>0</v>
      </c>
      <c r="J23" s="150">
        <f>ทดสอบ!K41</f>
        <v>0</v>
      </c>
      <c r="K23" s="150">
        <f>ทดสอบ!L41</f>
        <v>0</v>
      </c>
      <c r="L23" s="150">
        <f>ทดสอบ!M41</f>
        <v>0</v>
      </c>
      <c r="M23" s="150">
        <f>ทดสอบ!N41</f>
        <v>0</v>
      </c>
      <c r="N23" s="150">
        <f>ทดสอบ!O41</f>
        <v>0</v>
      </c>
      <c r="O23" s="150">
        <f>ทดสอบ!P41</f>
        <v>0</v>
      </c>
      <c r="P23" s="64"/>
      <c r="Q23" s="14"/>
      <c r="R23" s="14"/>
      <c r="S23" s="14"/>
      <c r="T23" s="8"/>
      <c r="U23" s="9"/>
      <c r="V23" s="10"/>
      <c r="W23" s="8"/>
      <c r="X23" s="9"/>
      <c r="Y23" s="10"/>
      <c r="Z23" s="8"/>
      <c r="AA23" s="9"/>
      <c r="AB23" s="10"/>
      <c r="AC23" s="8"/>
      <c r="AD23" s="9"/>
      <c r="AE23" s="10"/>
      <c r="AF23" s="8"/>
      <c r="AG23" s="9"/>
      <c r="AH23" s="10"/>
      <c r="AI23" s="8"/>
      <c r="AJ23" s="9"/>
      <c r="AK23" s="10"/>
      <c r="AL23" s="8"/>
      <c r="AM23" s="9"/>
      <c r="AN23" s="10"/>
      <c r="AO23" s="8"/>
      <c r="AP23" s="9"/>
      <c r="AQ23" s="10"/>
      <c r="AR23" s="8"/>
      <c r="AS23" s="9"/>
      <c r="AT23" s="10"/>
      <c r="AU23" s="8"/>
      <c r="AV23" s="9"/>
      <c r="AW23" s="10"/>
    </row>
    <row r="24" spans="1:49" ht="19.95" customHeight="1">
      <c r="A24" s="153" t="s">
        <v>65</v>
      </c>
      <c r="B24" s="14">
        <v>20</v>
      </c>
      <c r="C24" s="14" cm="1">
        <f t="array" ref="C24">SUMPRODUCT(ROUNDUP(D24:O24/B24, 0))</f>
        <v>0</v>
      </c>
      <c r="D24" s="150">
        <f>ทดสอบ!E43</f>
        <v>0</v>
      </c>
      <c r="E24" s="150">
        <f>ทดสอบ!F43</f>
        <v>0</v>
      </c>
      <c r="F24" s="150">
        <f>ทดสอบ!G43</f>
        <v>0</v>
      </c>
      <c r="G24" s="150">
        <f>ทดสอบ!H43</f>
        <v>0</v>
      </c>
      <c r="H24" s="150">
        <f>ทดสอบ!I43</f>
        <v>0</v>
      </c>
      <c r="I24" s="150">
        <f>ทดสอบ!J43</f>
        <v>0</v>
      </c>
      <c r="J24" s="150">
        <f>ทดสอบ!K43</f>
        <v>0</v>
      </c>
      <c r="K24" s="150">
        <f>ทดสอบ!L43</f>
        <v>0</v>
      </c>
      <c r="L24" s="150">
        <f>ทดสอบ!M43</f>
        <v>0</v>
      </c>
      <c r="M24" s="150">
        <f>ทดสอบ!N43</f>
        <v>0</v>
      </c>
      <c r="N24" s="150">
        <f>ทดสอบ!O43</f>
        <v>0</v>
      </c>
      <c r="O24" s="150">
        <f>ทดสอบ!P43</f>
        <v>0</v>
      </c>
      <c r="P24" s="64"/>
      <c r="Q24" s="14"/>
      <c r="R24" s="14"/>
      <c r="S24" s="14"/>
      <c r="T24" s="8"/>
      <c r="U24" s="9"/>
      <c r="V24" s="10"/>
      <c r="W24" s="8"/>
      <c r="X24" s="9"/>
      <c r="Y24" s="10"/>
      <c r="Z24" s="8"/>
      <c r="AA24" s="9"/>
      <c r="AB24" s="10"/>
      <c r="AC24" s="8"/>
      <c r="AD24" s="9"/>
      <c r="AE24" s="10"/>
      <c r="AF24" s="8"/>
      <c r="AG24" s="9"/>
      <c r="AH24" s="10"/>
      <c r="AI24" s="8"/>
      <c r="AJ24" s="9"/>
      <c r="AK24" s="10"/>
      <c r="AL24" s="8"/>
      <c r="AM24" s="9"/>
      <c r="AN24" s="10"/>
      <c r="AO24" s="8"/>
      <c r="AP24" s="9"/>
      <c r="AQ24" s="10"/>
      <c r="AR24" s="8"/>
      <c r="AS24" s="9"/>
      <c r="AT24" s="10"/>
      <c r="AU24" s="8"/>
      <c r="AV24" s="9"/>
      <c r="AW24" s="10"/>
    </row>
    <row r="25" spans="1:49" ht="19.95" customHeight="1">
      <c r="A25" s="152" t="s">
        <v>66</v>
      </c>
      <c r="B25" s="14">
        <v>32</v>
      </c>
      <c r="C25" s="14" cm="1">
        <f t="array" ref="C25">SUMPRODUCT(ROUNDUP(D25:O25/B25, 0))</f>
        <v>0</v>
      </c>
      <c r="D25" s="150">
        <f>ทดสอบ!E45</f>
        <v>0</v>
      </c>
      <c r="E25" s="150">
        <f>ทดสอบ!F45</f>
        <v>0</v>
      </c>
      <c r="F25" s="150">
        <f>ทดสอบ!G45</f>
        <v>0</v>
      </c>
      <c r="G25" s="150">
        <f>ทดสอบ!H45</f>
        <v>0</v>
      </c>
      <c r="H25" s="150">
        <f>ทดสอบ!I45</f>
        <v>0</v>
      </c>
      <c r="I25" s="150">
        <f>ทดสอบ!J45</f>
        <v>0</v>
      </c>
      <c r="J25" s="150">
        <f>ทดสอบ!K45</f>
        <v>0</v>
      </c>
      <c r="K25" s="150">
        <f>ทดสอบ!L45</f>
        <v>0</v>
      </c>
      <c r="L25" s="150">
        <f>ทดสอบ!M45</f>
        <v>0</v>
      </c>
      <c r="M25" s="150">
        <f>ทดสอบ!N45</f>
        <v>0</v>
      </c>
      <c r="N25" s="150">
        <f>ทดสอบ!O45</f>
        <v>0</v>
      </c>
      <c r="O25" s="150">
        <f>ทดสอบ!P45</f>
        <v>0</v>
      </c>
      <c r="P25" s="64"/>
      <c r="Q25" s="14"/>
      <c r="R25" s="14"/>
      <c r="S25" s="14"/>
      <c r="T25" s="8"/>
      <c r="U25" s="9"/>
      <c r="V25" s="10"/>
      <c r="W25" s="8"/>
      <c r="X25" s="9"/>
      <c r="Y25" s="10"/>
      <c r="Z25" s="8"/>
      <c r="AA25" s="9"/>
      <c r="AB25" s="10"/>
      <c r="AC25" s="8"/>
      <c r="AD25" s="9"/>
      <c r="AE25" s="10"/>
      <c r="AF25" s="8"/>
      <c r="AG25" s="9"/>
      <c r="AH25" s="10"/>
      <c r="AI25" s="8"/>
      <c r="AJ25" s="9"/>
      <c r="AK25" s="10"/>
      <c r="AL25" s="8"/>
      <c r="AM25" s="9"/>
      <c r="AN25" s="10"/>
      <c r="AO25" s="8"/>
      <c r="AP25" s="9"/>
      <c r="AQ25" s="10"/>
      <c r="AR25" s="8"/>
      <c r="AS25" s="9"/>
      <c r="AT25" s="10"/>
      <c r="AU25" s="8"/>
      <c r="AV25" s="9"/>
      <c r="AW25" s="10"/>
    </row>
    <row r="26" spans="1:49" ht="19.95" customHeight="1">
      <c r="A26" s="151" t="s">
        <v>105</v>
      </c>
      <c r="B26" s="14">
        <v>15</v>
      </c>
      <c r="C26" s="14" cm="1">
        <f t="array" ref="C26">SUMPRODUCT(ROUNDUP(D26:O26/B26, 0))</f>
        <v>0</v>
      </c>
      <c r="D26" s="150">
        <f>ทดสอบ!E47</f>
        <v>0</v>
      </c>
      <c r="E26" s="150">
        <f>ทดสอบ!F47</f>
        <v>0</v>
      </c>
      <c r="F26" s="150">
        <f>ทดสอบ!G47</f>
        <v>0</v>
      </c>
      <c r="G26" s="150">
        <f>ทดสอบ!H47</f>
        <v>0</v>
      </c>
      <c r="H26" s="150">
        <f>ทดสอบ!I47</f>
        <v>0</v>
      </c>
      <c r="I26" s="150">
        <f>ทดสอบ!J47</f>
        <v>0</v>
      </c>
      <c r="J26" s="150">
        <f>ทดสอบ!K47</f>
        <v>0</v>
      </c>
      <c r="K26" s="150">
        <f>ทดสอบ!L47</f>
        <v>0</v>
      </c>
      <c r="L26" s="150">
        <f>ทดสอบ!M47</f>
        <v>0</v>
      </c>
      <c r="M26" s="150">
        <f>ทดสอบ!N47</f>
        <v>0</v>
      </c>
      <c r="N26" s="150">
        <f>ทดสอบ!O47</f>
        <v>0</v>
      </c>
      <c r="O26" s="150">
        <f>ทดสอบ!P47</f>
        <v>0</v>
      </c>
      <c r="P26" s="64"/>
      <c r="Q26" s="14"/>
      <c r="R26" s="14"/>
      <c r="S26" s="14"/>
      <c r="T26" s="8"/>
      <c r="U26" s="9"/>
      <c r="V26" s="10"/>
      <c r="W26" s="8"/>
      <c r="X26" s="9"/>
      <c r="Y26" s="10"/>
      <c r="Z26" s="8"/>
      <c r="AA26" s="9"/>
      <c r="AB26" s="10"/>
      <c r="AC26" s="8"/>
      <c r="AD26" s="9"/>
      <c r="AE26" s="10"/>
      <c r="AF26" s="8"/>
      <c r="AG26" s="9"/>
      <c r="AH26" s="10"/>
      <c r="AI26" s="8"/>
      <c r="AJ26" s="9"/>
      <c r="AK26" s="10"/>
      <c r="AL26" s="8"/>
      <c r="AM26" s="9"/>
      <c r="AN26" s="10"/>
      <c r="AO26" s="8"/>
      <c r="AP26" s="9"/>
      <c r="AQ26" s="10"/>
      <c r="AR26" s="8"/>
      <c r="AS26" s="9"/>
      <c r="AT26" s="10"/>
      <c r="AU26" s="8"/>
      <c r="AV26" s="9"/>
      <c r="AW26" s="10"/>
    </row>
    <row r="27" spans="1:49" ht="19.95" customHeight="1">
      <c r="A27" s="151" t="s">
        <v>105</v>
      </c>
      <c r="B27" s="14">
        <v>8</v>
      </c>
      <c r="C27" s="14" cm="1">
        <f t="array" ref="C27">SUMPRODUCT(ROUNDUP(D27:O27/B27, 0))</f>
        <v>0</v>
      </c>
      <c r="D27" s="150">
        <f>ทดสอบ!E49</f>
        <v>0</v>
      </c>
      <c r="E27" s="150">
        <f>ทดสอบ!F49</f>
        <v>0</v>
      </c>
      <c r="F27" s="150">
        <f>ทดสอบ!G49</f>
        <v>0</v>
      </c>
      <c r="G27" s="150">
        <f>ทดสอบ!H49</f>
        <v>0</v>
      </c>
      <c r="H27" s="150">
        <f>ทดสอบ!I49</f>
        <v>0</v>
      </c>
      <c r="I27" s="150">
        <f>ทดสอบ!J49</f>
        <v>0</v>
      </c>
      <c r="J27" s="150">
        <f>ทดสอบ!K49</f>
        <v>0</v>
      </c>
      <c r="K27" s="150">
        <f>ทดสอบ!L49</f>
        <v>0</v>
      </c>
      <c r="L27" s="150">
        <f>ทดสอบ!M49</f>
        <v>0</v>
      </c>
      <c r="M27" s="150">
        <f>ทดสอบ!N49</f>
        <v>0</v>
      </c>
      <c r="N27" s="150">
        <f>ทดสอบ!O49</f>
        <v>0</v>
      </c>
      <c r="O27" s="150">
        <f>ทดสอบ!P49</f>
        <v>0</v>
      </c>
      <c r="P27" s="64"/>
      <c r="Q27" s="14"/>
      <c r="R27" s="14"/>
      <c r="S27" s="14"/>
      <c r="T27" s="8"/>
      <c r="U27" s="9"/>
      <c r="V27" s="10"/>
      <c r="W27" s="8"/>
      <c r="X27" s="9"/>
      <c r="Y27" s="10"/>
      <c r="Z27" s="8"/>
      <c r="AA27" s="9"/>
      <c r="AB27" s="10"/>
      <c r="AC27" s="8"/>
      <c r="AD27" s="9"/>
      <c r="AE27" s="10"/>
      <c r="AF27" s="8"/>
      <c r="AG27" s="9"/>
      <c r="AH27" s="10"/>
      <c r="AI27" s="8"/>
      <c r="AJ27" s="9"/>
      <c r="AK27" s="10"/>
      <c r="AL27" s="8"/>
      <c r="AM27" s="9"/>
      <c r="AN27" s="10"/>
      <c r="AO27" s="8"/>
      <c r="AP27" s="9"/>
      <c r="AQ27" s="10"/>
      <c r="AR27" s="8"/>
      <c r="AS27" s="9"/>
      <c r="AT27" s="10"/>
      <c r="AU27" s="8"/>
      <c r="AV27" s="9"/>
      <c r="AW27" s="10"/>
    </row>
    <row r="28" spans="1:49" s="25" customFormat="1" ht="25.2" customHeight="1">
      <c r="A28" s="366" t="s">
        <v>40</v>
      </c>
      <c r="B28" s="366"/>
      <c r="C28" s="88">
        <f>SUM(C10:C27)</f>
        <v>0</v>
      </c>
      <c r="D28" s="2">
        <f>SUM(D29:D31)*-1</f>
        <v>0</v>
      </c>
      <c r="E28" s="2">
        <f t="shared" ref="E28:K28" si="31">SUM(E29:E31)*-1</f>
        <v>0</v>
      </c>
      <c r="F28" s="2">
        <f t="shared" si="31"/>
        <v>0</v>
      </c>
      <c r="G28" s="2">
        <f t="shared" si="31"/>
        <v>0</v>
      </c>
      <c r="H28" s="2">
        <f t="shared" si="31"/>
        <v>0</v>
      </c>
      <c r="I28" s="2">
        <f t="shared" si="31"/>
        <v>0</v>
      </c>
      <c r="J28" s="2">
        <f t="shared" si="31"/>
        <v>0</v>
      </c>
      <c r="K28" s="2">
        <f t="shared" si="31"/>
        <v>0</v>
      </c>
      <c r="L28" s="2">
        <f>SUM(L29:L31)*-1</f>
        <v>0</v>
      </c>
      <c r="M28" s="2">
        <f>SUM(M29:M31)*-1</f>
        <v>0</v>
      </c>
      <c r="N28" s="2">
        <f t="shared" ref="N28" si="32">SUM(N29:N31)*-1</f>
        <v>0</v>
      </c>
      <c r="O28" s="2">
        <f t="shared" ref="O28" si="33">SUM(O29:O31)*-1</f>
        <v>0</v>
      </c>
      <c r="P28" s="86"/>
      <c r="Q28" s="24"/>
      <c r="R28" s="24"/>
      <c r="S28" s="24"/>
    </row>
    <row r="29" spans="1:49" ht="21" customHeight="1">
      <c r="A29" s="367" t="s">
        <v>41</v>
      </c>
      <c r="B29" s="367"/>
      <c r="C29" s="367"/>
      <c r="D29" s="87">
        <f>SUM(T10:T16)</f>
        <v>0</v>
      </c>
      <c r="E29" s="87">
        <f>SUM(W10:W16)</f>
        <v>0</v>
      </c>
      <c r="F29" s="87">
        <f>SUM(Z10:Z16)</f>
        <v>0</v>
      </c>
      <c r="G29" s="87">
        <f>SUM(AC10:AC16)</f>
        <v>0</v>
      </c>
      <c r="H29" s="87">
        <f>SUM(AF10:AF16)</f>
        <v>0</v>
      </c>
      <c r="I29" s="87">
        <f>SUM(AI10:AI16)</f>
        <v>0</v>
      </c>
      <c r="J29" s="87">
        <f>SUM(AL10:AL16)</f>
        <v>0</v>
      </c>
      <c r="K29" s="87">
        <f>SUM(AO10:AO16)</f>
        <v>0</v>
      </c>
      <c r="L29" s="87">
        <f>SUM(AR10:AR16)</f>
        <v>0</v>
      </c>
      <c r="M29" s="87">
        <f t="shared" ref="M29:O29" si="34">SUM(AS10:AS16)</f>
        <v>0</v>
      </c>
      <c r="N29" s="87">
        <f t="shared" si="34"/>
        <v>0</v>
      </c>
      <c r="O29" s="87">
        <f t="shared" si="34"/>
        <v>0</v>
      </c>
      <c r="P29" s="14"/>
      <c r="Q29" s="14"/>
      <c r="R29" s="14"/>
      <c r="S29" s="14"/>
    </row>
    <row r="30" spans="1:49" ht="21" customHeight="1">
      <c r="A30" s="363" t="s">
        <v>42</v>
      </c>
      <c r="B30" s="363"/>
      <c r="C30" s="363"/>
      <c r="D30" s="14">
        <f>SUM(U10:U16)</f>
        <v>0</v>
      </c>
      <c r="E30" s="14">
        <f>SUM(X10:X16)</f>
        <v>0</v>
      </c>
      <c r="F30" s="14">
        <f>SUM(AA10:AA16)</f>
        <v>0</v>
      </c>
      <c r="G30" s="14">
        <f>SUM(AD10:AD16)</f>
        <v>0</v>
      </c>
      <c r="H30" s="14">
        <f>SUM(AG10:AG16)</f>
        <v>0</v>
      </c>
      <c r="I30" s="14">
        <f>SUM(AJ10:AJ16)</f>
        <v>0</v>
      </c>
      <c r="J30" s="14">
        <f>SUM(AM10:AM16)</f>
        <v>0</v>
      </c>
      <c r="K30" s="14">
        <f>SUM(AP10:AP16)</f>
        <v>0</v>
      </c>
      <c r="L30" s="14">
        <f>SUM(AS10:AS16)</f>
        <v>0</v>
      </c>
      <c r="M30" s="14">
        <f t="shared" ref="M30:O30" si="35">SUM(AT10:AT16)</f>
        <v>0</v>
      </c>
      <c r="N30" s="14">
        <f t="shared" si="35"/>
        <v>0</v>
      </c>
      <c r="O30" s="14">
        <f t="shared" si="35"/>
        <v>0</v>
      </c>
      <c r="P30" s="14"/>
      <c r="Q30" s="14"/>
      <c r="R30" s="14"/>
      <c r="S30" s="14"/>
    </row>
    <row r="31" spans="1:49" ht="21" customHeight="1">
      <c r="A31" s="363" t="s">
        <v>43</v>
      </c>
      <c r="B31" s="363"/>
      <c r="C31" s="363"/>
      <c r="D31" s="14">
        <f>SUM(V10:V16)</f>
        <v>0</v>
      </c>
      <c r="E31" s="14">
        <f>SUM(Y10:Y16)</f>
        <v>0</v>
      </c>
      <c r="F31" s="14">
        <f>SUM(AB10:AB16)</f>
        <v>0</v>
      </c>
      <c r="G31" s="14">
        <f>SUM(AE10:AE16)</f>
        <v>0</v>
      </c>
      <c r="H31" s="14">
        <f>SUM(AH10:AH16)</f>
        <v>0</v>
      </c>
      <c r="I31" s="14">
        <f>SUM(AK10:AK16)</f>
        <v>0</v>
      </c>
      <c r="J31" s="14">
        <f>SUM(AN10:AN16)</f>
        <v>0</v>
      </c>
      <c r="K31" s="14">
        <f>SUM(AQ10:AQ16)</f>
        <v>0</v>
      </c>
      <c r="L31" s="14">
        <f>SUM(AT10:AT16)</f>
        <v>0</v>
      </c>
      <c r="M31" s="14">
        <f t="shared" ref="M31:O31" si="36">SUM(AU10:AU16)</f>
        <v>0</v>
      </c>
      <c r="N31" s="14">
        <f t="shared" si="36"/>
        <v>0</v>
      </c>
      <c r="O31" s="14">
        <f t="shared" si="36"/>
        <v>0</v>
      </c>
      <c r="P31" s="14"/>
      <c r="Q31" s="14"/>
      <c r="R31" s="14"/>
      <c r="S31" s="14"/>
    </row>
    <row r="32" spans="1:49" ht="15" customHeight="1">
      <c r="A32" s="11"/>
      <c r="B32" s="11"/>
      <c r="C32" s="11"/>
    </row>
    <row r="33" spans="1:19" ht="15" customHeight="1">
      <c r="A33" s="11"/>
      <c r="B33" s="11"/>
      <c r="C33" s="11"/>
    </row>
    <row r="34" spans="1:19" ht="18" customHeight="1">
      <c r="A34" s="362" t="s">
        <v>44</v>
      </c>
      <c r="B34" s="15" t="s">
        <v>41</v>
      </c>
      <c r="C34" s="13">
        <v>134</v>
      </c>
      <c r="D34" s="14">
        <f>IF(C34=0, 0, ((SUM(D29:O29)+SUM(D30:O30))/C34)*100)</f>
        <v>0</v>
      </c>
      <c r="E34" s="14" t="s">
        <v>16</v>
      </c>
    </row>
    <row r="35" spans="1:19" ht="18" customHeight="1">
      <c r="A35" s="362"/>
      <c r="B35" s="15" t="s">
        <v>46</v>
      </c>
      <c r="C35" s="13">
        <v>242</v>
      </c>
      <c r="D35" s="14">
        <f>IF(C35=0, 0, ((SUM(D31:O31))/C35)*100)</f>
        <v>0</v>
      </c>
      <c r="E35" s="14" t="s">
        <v>16</v>
      </c>
      <c r="I35" s="16"/>
    </row>
    <row r="36" spans="1:19" ht="18" customHeight="1">
      <c r="A36" s="362"/>
      <c r="B36" s="363" t="s">
        <v>48</v>
      </c>
      <c r="C36" s="363"/>
      <c r="D36" s="14">
        <f>D34+D35</f>
        <v>0</v>
      </c>
      <c r="E36" s="14" t="s">
        <v>16</v>
      </c>
    </row>
    <row r="37" spans="1:19" ht="18" customHeight="1">
      <c r="A37" s="362"/>
      <c r="B37" s="363" t="s">
        <v>47</v>
      </c>
      <c r="C37" s="363"/>
      <c r="D37" s="14">
        <v>100</v>
      </c>
      <c r="E37" s="14" t="s">
        <v>16</v>
      </c>
    </row>
    <row r="38" spans="1:19" ht="18" customHeight="1">
      <c r="A38" s="362"/>
      <c r="B38" s="363" t="s">
        <v>19</v>
      </c>
      <c r="C38" s="363"/>
      <c r="D38" s="14">
        <f>CEILING(D36 /D37, 1)</f>
        <v>0</v>
      </c>
      <c r="E38" s="16" t="s">
        <v>20</v>
      </c>
    </row>
    <row r="39" spans="1:19" ht="18" customHeight="1">
      <c r="A39" s="362" t="s">
        <v>45</v>
      </c>
      <c r="B39" s="15" t="s">
        <v>41</v>
      </c>
      <c r="C39" s="13">
        <v>154</v>
      </c>
      <c r="D39" s="14">
        <f>IF(C39=0, 0, ((SUM(D29:O29)+SUM(D30:O30))/C39)*100)</f>
        <v>0</v>
      </c>
      <c r="E39" s="14" t="s">
        <v>16</v>
      </c>
    </row>
    <row r="40" spans="1:19" ht="18" customHeight="1">
      <c r="A40" s="362"/>
      <c r="B40" s="15" t="s">
        <v>46</v>
      </c>
      <c r="C40" s="13">
        <v>278</v>
      </c>
      <c r="D40" s="14">
        <f>IF(C40=0, 0, ((SUM(D31:O31))/C40)*100)</f>
        <v>0</v>
      </c>
      <c r="E40" s="14" t="s">
        <v>16</v>
      </c>
    </row>
    <row r="41" spans="1:19" ht="18" customHeight="1">
      <c r="A41" s="362"/>
      <c r="B41" s="363" t="s">
        <v>48</v>
      </c>
      <c r="C41" s="363"/>
      <c r="D41" s="14">
        <f>D39+D40</f>
        <v>0</v>
      </c>
      <c r="E41" s="14" t="s">
        <v>16</v>
      </c>
    </row>
    <row r="42" spans="1:19" ht="18" customHeight="1">
      <c r="A42" s="362"/>
      <c r="B42" s="363" t="s">
        <v>47</v>
      </c>
      <c r="C42" s="363"/>
      <c r="D42" s="14">
        <v>100</v>
      </c>
      <c r="E42" s="14" t="s">
        <v>16</v>
      </c>
    </row>
    <row r="43" spans="1:19" ht="25.2" customHeight="1">
      <c r="A43" s="362"/>
      <c r="B43" s="363" t="s">
        <v>19</v>
      </c>
      <c r="C43" s="363"/>
      <c r="D43" s="14">
        <f>CEILING(D41 /D42, 1)</f>
        <v>0</v>
      </c>
      <c r="E43" s="16" t="s">
        <v>20</v>
      </c>
    </row>
    <row r="44" spans="1:19" ht="25.2" customHeight="1">
      <c r="A44" s="1"/>
      <c r="B44" s="11"/>
      <c r="C44" s="11"/>
      <c r="E44" s="12"/>
    </row>
    <row r="45" spans="1:19" ht="4.95" customHeight="1">
      <c r="A45" s="1"/>
      <c r="B45" s="11"/>
      <c r="C45" s="11"/>
      <c r="E45" s="12"/>
    </row>
    <row r="46" spans="1:19" ht="21" customHeight="1">
      <c r="A46" s="362" t="s">
        <v>15</v>
      </c>
      <c r="B46" s="364"/>
      <c r="C46" s="13" t="s">
        <v>49</v>
      </c>
      <c r="D46" s="362" t="s">
        <v>53</v>
      </c>
      <c r="E46" s="362"/>
      <c r="F46" s="362"/>
      <c r="G46" s="362" t="s">
        <v>54</v>
      </c>
      <c r="H46" s="362"/>
      <c r="I46" s="362"/>
      <c r="J46" s="349" t="s">
        <v>55</v>
      </c>
      <c r="K46" s="350"/>
      <c r="L46" s="350"/>
      <c r="M46" s="350"/>
      <c r="N46" s="350"/>
      <c r="O46" s="351"/>
      <c r="P46" s="17"/>
      <c r="Q46" s="352" t="s">
        <v>60</v>
      </c>
      <c r="R46" s="353"/>
    </row>
    <row r="47" spans="1:19" ht="21" customHeight="1">
      <c r="A47" s="357" t="s">
        <v>50</v>
      </c>
      <c r="B47" s="358"/>
      <c r="C47" s="14"/>
      <c r="D47" s="349"/>
      <c r="E47" s="350"/>
      <c r="F47" s="351"/>
      <c r="G47" s="349"/>
      <c r="H47" s="350"/>
      <c r="I47" s="351"/>
      <c r="J47" s="359"/>
      <c r="K47" s="360"/>
      <c r="L47" s="360"/>
      <c r="M47" s="360"/>
      <c r="N47" s="360"/>
      <c r="O47" s="361"/>
      <c r="P47" s="18"/>
      <c r="Q47" s="22" t="s">
        <v>56</v>
      </c>
      <c r="R47" s="23" t="s">
        <v>57</v>
      </c>
      <c r="S47" s="5"/>
    </row>
    <row r="48" spans="1:19" ht="21" customHeight="1">
      <c r="A48" s="357" t="s">
        <v>51</v>
      </c>
      <c r="B48" s="358"/>
      <c r="C48" s="14"/>
      <c r="D48" s="349"/>
      <c r="E48" s="350"/>
      <c r="F48" s="351"/>
      <c r="G48" s="349"/>
      <c r="H48" s="350"/>
      <c r="I48" s="351"/>
      <c r="J48" s="359"/>
      <c r="K48" s="360"/>
      <c r="L48" s="360"/>
      <c r="M48" s="360"/>
      <c r="N48" s="360"/>
      <c r="O48" s="361"/>
      <c r="P48" s="18"/>
      <c r="Q48" s="22" t="s">
        <v>58</v>
      </c>
      <c r="R48" s="23" t="s">
        <v>57</v>
      </c>
      <c r="S48" s="19"/>
    </row>
    <row r="49" spans="1:19" ht="21" customHeight="1">
      <c r="A49" s="357" t="s">
        <v>52</v>
      </c>
      <c r="B49" s="357"/>
      <c r="C49" s="14"/>
      <c r="D49" s="349"/>
      <c r="E49" s="350"/>
      <c r="F49" s="351"/>
      <c r="G49" s="349"/>
      <c r="H49" s="350"/>
      <c r="I49" s="351"/>
      <c r="J49" s="359"/>
      <c r="K49" s="360"/>
      <c r="L49" s="360"/>
      <c r="M49" s="360"/>
      <c r="N49" s="360"/>
      <c r="O49" s="361"/>
      <c r="P49" s="18"/>
      <c r="Q49" s="20" t="s">
        <v>59</v>
      </c>
      <c r="R49" s="21" t="s">
        <v>57</v>
      </c>
      <c r="S49" s="19"/>
    </row>
    <row r="50" spans="1:19" ht="15" customHeight="1">
      <c r="Q50" s="19"/>
      <c r="R50" s="19"/>
      <c r="S50" s="19"/>
    </row>
  </sheetData>
  <mergeCells count="61">
    <mergeCell ref="B1:O1"/>
    <mergeCell ref="Q1:S1"/>
    <mergeCell ref="Q3:S4"/>
    <mergeCell ref="A6:B8"/>
    <mergeCell ref="C6:S6"/>
    <mergeCell ref="L8:L9"/>
    <mergeCell ref="S8:S9"/>
    <mergeCell ref="A29:C29"/>
    <mergeCell ref="D8:D9"/>
    <mergeCell ref="C7:C9"/>
    <mergeCell ref="E8:E9"/>
    <mergeCell ref="F8:F9"/>
    <mergeCell ref="D7:S7"/>
    <mergeCell ref="AL8:AN8"/>
    <mergeCell ref="AO8:AQ8"/>
    <mergeCell ref="AR8:AT8"/>
    <mergeCell ref="AU8:AW8"/>
    <mergeCell ref="A28:B28"/>
    <mergeCell ref="T8:V8"/>
    <mergeCell ref="W8:Y8"/>
    <mergeCell ref="Z8:AB8"/>
    <mergeCell ref="AC8:AE8"/>
    <mergeCell ref="AF8:AH8"/>
    <mergeCell ref="AI8:AK8"/>
    <mergeCell ref="G8:G9"/>
    <mergeCell ref="H8:H9"/>
    <mergeCell ref="I8:I9"/>
    <mergeCell ref="J8:J9"/>
    <mergeCell ref="K8:K9"/>
    <mergeCell ref="A30:C30"/>
    <mergeCell ref="A31:C31"/>
    <mergeCell ref="A34:A38"/>
    <mergeCell ref="B36:C36"/>
    <mergeCell ref="B37:C37"/>
    <mergeCell ref="B38:C38"/>
    <mergeCell ref="A47:B47"/>
    <mergeCell ref="A48:B48"/>
    <mergeCell ref="A49:B49"/>
    <mergeCell ref="J49:O49"/>
    <mergeCell ref="A39:A43"/>
    <mergeCell ref="B41:C41"/>
    <mergeCell ref="B42:C42"/>
    <mergeCell ref="B43:C43"/>
    <mergeCell ref="A46:B46"/>
    <mergeCell ref="D46:F46"/>
    <mergeCell ref="J47:O47"/>
    <mergeCell ref="J48:O48"/>
    <mergeCell ref="G46:I46"/>
    <mergeCell ref="D47:F47"/>
    <mergeCell ref="D48:F48"/>
    <mergeCell ref="D49:F49"/>
    <mergeCell ref="G47:I47"/>
    <mergeCell ref="G48:I48"/>
    <mergeCell ref="G49:I49"/>
    <mergeCell ref="Q46:R46"/>
    <mergeCell ref="Q8:Q9"/>
    <mergeCell ref="R8:R9"/>
    <mergeCell ref="O8:O9"/>
    <mergeCell ref="J46:O46"/>
    <mergeCell ref="M8:M9"/>
    <mergeCell ref="N8:N9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2F59-BE09-4F9C-81D2-26BAD193372A}">
  <dimension ref="D11:F17"/>
  <sheetViews>
    <sheetView workbookViewId="0">
      <selection activeCell="D15" sqref="D15"/>
    </sheetView>
  </sheetViews>
  <sheetFormatPr defaultRowHeight="14.4"/>
  <cols>
    <col min="4" max="4" width="30" customWidth="1"/>
    <col min="5" max="5" width="33.77734375" customWidth="1"/>
  </cols>
  <sheetData>
    <row r="11" spans="4:6" ht="15" thickBot="1"/>
    <row r="12" spans="4:6">
      <c r="D12" s="374" t="s">
        <v>119</v>
      </c>
      <c r="E12" s="55" t="s">
        <v>120</v>
      </c>
      <c r="F12" s="56"/>
    </row>
    <row r="13" spans="4:6" ht="18" customHeight="1" thickBot="1">
      <c r="D13" s="375"/>
      <c r="E13" s="57" t="s">
        <v>125</v>
      </c>
      <c r="F13" s="56"/>
    </row>
    <row r="14" spans="4:6" ht="15" thickBot="1">
      <c r="D14" s="376"/>
      <c r="E14" s="58" t="s">
        <v>121</v>
      </c>
      <c r="F14" s="56"/>
    </row>
    <row r="15" spans="4:6" ht="17.399999999999999" customHeight="1" thickBot="1">
      <c r="D15" s="59" t="s">
        <v>122</v>
      </c>
      <c r="E15" s="60" t="s">
        <v>123</v>
      </c>
      <c r="F15" s="56"/>
    </row>
    <row r="16" spans="4:6" ht="15" thickBot="1">
      <c r="D16" s="59" t="s">
        <v>124</v>
      </c>
      <c r="E16" s="60" t="s">
        <v>123</v>
      </c>
      <c r="F16" s="56"/>
    </row>
    <row r="17" spans="4:6" ht="23.4">
      <c r="D17" s="3"/>
      <c r="E17" s="3"/>
      <c r="F17" s="3"/>
    </row>
  </sheetData>
  <mergeCells count="1"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ทดสอบ</vt:lpstr>
      <vt:lpstr>บางบัวทอง-ผลิต (2)</vt:lpstr>
      <vt:lpstr>บางบัวทอง-ผลิต (4)</vt:lpstr>
      <vt:lpstr>บางบัวทอง-รถ</vt:lpstr>
      <vt:lpstr>Sheet2</vt:lpstr>
      <vt:lpstr>ทดสอบ!Print_Area</vt:lpstr>
      <vt:lpstr>'บางบัวทอง-ผลิต (2)'!Print_Area</vt:lpstr>
      <vt:lpstr>'บางบัวทอง-ผลิต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2026-08-27T23:10:21Z</cp:lastPrinted>
  <dcterms:created xsi:type="dcterms:W3CDTF">2025-08-23T13:26:05Z</dcterms:created>
  <dcterms:modified xsi:type="dcterms:W3CDTF">2026-09-10T02:08:40Z</dcterms:modified>
</cp:coreProperties>
</file>